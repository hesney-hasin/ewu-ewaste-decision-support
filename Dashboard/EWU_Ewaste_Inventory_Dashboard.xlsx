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92584d1db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7d991d93fe714017"/>
    <x:sheet xmlns:r="http://schemas.openxmlformats.org/officeDocument/2006/relationships" name="Summary" sheetId="2" r:id="R4bba12804f714e5f"/>
    <x:sheet xmlns:r="http://schemas.openxmlformats.org/officeDocument/2006/relationships" name="Dashboard" sheetId="3" r:id="R7fff8b9d1245434a"/>
    <x:sheet xmlns:r="http://schemas.openxmlformats.org/officeDocument/2006/relationships" name="Assumptions" sheetId="4" r:id="Rc7bc906bd0f94a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%"/>
    <x:numFmt numFmtId="202" formatCode="#,##0 &quot;BDT&quot;"/>
    <x:numFmt numFmtId="203" formatCode="0"/>
    <x:numFmt numFmtId="204" formatCode="0.00 &quot;kg&quot;"/>
    <x:numFmt numFmtId="205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6A4C00"/>
      <x:name val="Carlito"/>
    </x:font>
    <x:font>
      <x:b/>
      <x:sz val="11"/>
      <x:color rgb="FFFFFFFF"/>
      <x:name val="Carlito"/>
    </x:font>
    <x:font>
      <x:b/>
      <x:sz val="11"/>
      <x:color rgb="FF173F35"/>
      <x:name val="Carlito"/>
    </x:font>
    <x:font>
      <x:b/>
      <x:sz val="11"/>
      <x:name val="Carlito"/>
    </x:font>
    <x:font>
      <x:b/>
      <x:sz val="18"/>
      <x:color rgb="FF1F4E3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FFF4CC"/>
      </x:patternFill>
    </x:fill>
    <x:fill>
      <x:patternFill patternType="solid">
        <x:fgColor rgb="FF2E6F5E"/>
      </x:patternFill>
    </x:fill>
    <x:fill>
      <x:patternFill patternType="solid">
        <x:fgColor rgb="FFDDEFE7"/>
      </x:patternFill>
    </x:fill>
    <x:fill>
      <x:patternFill patternType="solid">
        <x:fgColor rgb="FFF7FBF9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/>
    </x:xf>
    <x:xf numFmtId="0" fontId="3" fillId="4" borderId="1" xfId="0" applyNumberFormat="1" applyFont="1" applyFill="1" applyBorder="1" applyAlignment="1">
      <x:alignment horizontal="left" vertical="center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/>
    <x:xf numFmtId="0" fontId="4" fillId="5" borderId="5" xfId="0" applyNumberFormat="1" applyFont="1" applyFill="1" applyBorder="1" applyAlignment="1">
      <x:alignment horizontal="left" vertical="center"/>
    </x:xf>
    <x:xf numFmtId="0" fontId="5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200" fontId="0" fillId="0" borderId="14" xfId="0" applyNumberFormat="1" applyFont="1" applyFill="1" applyBorder="1"/>
    <x:xf numFmtId="0" fontId="4" fillId="5" borderId="13" xfId="0" applyNumberFormat="1" applyFont="1" applyFill="1" applyBorder="1" applyAlignment="1">
      <x:alignment horizontal="left" vertical="center"/>
    </x:xf>
    <x:xf numFmtId="0" fontId="5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5" fontId="4" fillId="5" borderId="0" xfId="0" applyNumberFormat="1" applyFont="1" applyFill="1" applyBorder="1" applyAlignment="1">
      <x:alignment horizontal="left" vertical="center"/>
    </x:xf>
    <x:xf numFmtId="205" fontId="0" fillId="0" borderId="1" xfId="0" applyNumberFormat="1" applyFont="1" applyFill="1" applyBorder="1"/>
    <x:xf numFmtId="205" fontId="4" fillId="5" borderId="1" xfId="0" applyNumberFormat="1" applyFont="1" applyFill="1" applyBorder="1" applyAlignment="1">
      <x:alignment horizontal="left" vertical="center"/>
    </x:xf>
    <x:xf numFmtId="200" fontId="4" fillId="5" borderId="0" xfId="0" applyNumberFormat="1" applyFont="1" applyFill="1" applyBorder="1" applyAlignment="1">
      <x:alignment horizontal="left" vertical="center"/>
    </x:xf>
    <x:xf numFmtId="200" fontId="4" fillId="5" borderId="1" xfId="0" applyNumberFormat="1" applyFont="1" applyFill="1" applyBorder="1" applyAlignment="1">
      <x:alignment horizontal="left" vertical="center"/>
    </x:xf>
    <x:xf numFmtId="202" fontId="4" fillId="5" borderId="0" xfId="0" applyNumberFormat="1" applyFont="1" applyFill="1" applyBorder="1" applyAlignment="1">
      <x:alignment horizontal="left" vertical="center"/>
    </x:xf>
    <x:xf numFmtId="202" fontId="4" fillId="5" borderId="1" xfId="0" applyNumberFormat="1" applyFont="1" applyFill="1" applyBorder="1" applyAlignment="1">
      <x:alignment horizontal="left" vertical="center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202" fontId="0" fillId="0" borderId="6" xfId="0" applyNumberFormat="1" applyFont="1" applyFill="1" applyBorder="1"/>
    <x:xf numFmtId="202" fontId="4" fillId="5" borderId="6" xfId="0" applyNumberFormat="1" applyFont="1" applyFill="1" applyBorder="1" applyAlignment="1">
      <x:alignment horizontal="left" vertical="center"/>
    </x:xf>
    <x:xf numFmtId="203" fontId="0" fillId="0" borderId="6" xfId="0" applyNumberFormat="1" applyFont="1" applyFill="1" applyBorder="1"/>
    <x:xf numFmtId="205" fontId="0" fillId="0" borderId="6" xfId="0" applyNumberFormat="1" applyFont="1" applyFill="1" applyBorder="1"/>
    <x:xf numFmtId="0" fontId="4" fillId="5" borderId="7" xfId="0" applyNumberFormat="1" applyFont="1" applyFill="1" applyBorder="1" applyAlignment="1">
      <x:alignment horizontal="left" vertical="center"/>
    </x:xf>
    <x:xf numFmtId="0" fontId="4" fillId="5" borderId="8" xfId="0" applyNumberFormat="1" applyFont="1" applyFill="1" applyBorder="1" applyAlignment="1">
      <x:alignment horizontal="left" vertical="center"/>
    </x:xf>
    <x:xf numFmtId="200" fontId="4" fillId="5" borderId="8" xfId="0" applyNumberFormat="1" applyFont="1" applyFill="1" applyBorder="1" applyAlignment="1">
      <x:alignment horizontal="left" vertical="center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202" fontId="0" fillId="0" borderId="14" xfId="0" applyNumberFormat="1" applyFont="1" applyFill="1" applyBorder="1"/>
    <x:xf numFmtId="202" fontId="4" fillId="5" borderId="14" xfId="0" applyNumberFormat="1" applyFont="1" applyFill="1" applyBorder="1" applyAlignment="1">
      <x:alignment horizontal="left" vertical="center"/>
    </x:xf>
    <x:xf numFmtId="203" fontId="0" fillId="0" borderId="14" xfId="0" applyNumberFormat="1" applyFont="1" applyFill="1" applyBorder="1"/>
    <x:xf numFmtId="205" fontId="0" fillId="0" borderId="14" xfId="0" applyNumberFormat="1" applyFont="1" applyFill="1" applyBorder="1"/>
    <x:xf numFmtId="0" fontId="4" fillId="5" borderId="15" xfId="0" applyNumberFormat="1" applyFont="1" applyFill="1" applyBorder="1" applyAlignment="1">
      <x:alignment horizontal="left" vertical="center"/>
    </x:xf>
    <x:xf numFmtId="0" fontId="4" fillId="5" borderId="16" xfId="0" applyNumberFormat="1" applyFont="1" applyFill="1" applyBorder="1" applyAlignment="1">
      <x:alignment horizontal="left" vertical="center"/>
    </x:xf>
    <x:xf numFmtId="200" fontId="4" fillId="5" borderId="16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5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0" xfId="0" applyNumberFormat="1" applyFont="1" applyFill="1" applyBorder="1" applyAlignment="1">
      <x:alignment horizontal="center"/>
    </x:xf>
    <x:xf numFmtId="0" fontId="6" fillId="6" borderId="11" xfId="0" applyNumberFormat="1" applyFont="1" applyFill="1" applyBorder="1" applyAlignment="1">
      <x:alignment horizontal="center"/>
    </x:xf>
    <x:xf numFmtId="0" fontId="6" fillId="6" borderId="12" xfId="0" applyNumberFormat="1" applyFont="1" applyFill="1" applyBorder="1" applyAlignment="1">
      <x:alignment horizontal="center"/>
    </x:xf>
    <x:xf numFmtId="0" fontId="6" fillId="6" borderId="13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0" fontId="6" fillId="6" borderId="14" xfId="0" applyNumberFormat="1" applyFont="1" applyFill="1" applyBorder="1" applyAlignment="1">
      <x:alignment horizontal="center"/>
    </x:xf>
    <x:xf numFmtId="0" fontId="6" fillId="6" borderId="15" xfId="0" applyNumberFormat="1" applyFont="1" applyFill="1" applyBorder="1" applyAlignment="1">
      <x:alignment horizontal="center"/>
    </x:xf>
    <x:xf numFmtId="0" fontId="6" fillId="6" borderId="16" xfId="0" applyNumberFormat="1" applyFont="1" applyFill="1" applyBorder="1" applyAlignment="1">
      <x:alignment horizontal="center"/>
    </x:xf>
    <x:xf numFmtId="0" fontId="6" fillId="6" borderId="17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6" fillId="6" borderId="11" xfId="0" applyNumberFormat="1" applyFont="1" applyFill="1" applyBorder="1" applyAlignment="1">
      <x:alignment horizontal="center" vertical="center"/>
    </x:xf>
    <x:xf numFmtId="0" fontId="6" fillId="6" borderId="12" xfId="0" applyNumberFormat="1" applyFont="1" applyFill="1" applyBorder="1" applyAlignment="1">
      <x:alignment horizontal="center" vertical="center"/>
    </x:xf>
    <x:xf numFmtId="0" fontId="6" fillId="6" borderId="13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14" xfId="0" applyNumberFormat="1" applyFont="1" applyFill="1" applyBorder="1" applyAlignment="1">
      <x:alignment horizontal="center" vertical="center"/>
    </x:xf>
    <x:xf numFmtId="0" fontId="6" fillId="6" borderId="15" xfId="0" applyNumberFormat="1" applyFont="1" applyFill="1" applyBorder="1" applyAlignment="1">
      <x:alignment horizontal="center" vertical="center"/>
    </x:xf>
    <x:xf numFmtId="0" fontId="6" fillId="6" borderId="16" xfId="0" applyNumberFormat="1" applyFont="1" applyFill="1" applyBorder="1" applyAlignment="1">
      <x:alignment horizontal="center" vertical="center"/>
    </x:xf>
    <x:xf numFmtId="0" fontId="6" fillId="6" borderId="17" xfId="0" applyNumberFormat="1" applyFont="1" applyFill="1" applyBorder="1" applyAlignment="1">
      <x:alignment horizontal="center" vertical="center"/>
    </x:xf>
    <x:xf numFmtId="203" fontId="6" fillId="6" borderId="2" xfId="0" applyNumberFormat="1" applyFont="1" applyFill="1" applyBorder="1" applyAlignment="1">
      <x:alignment horizontal="center" vertical="center"/>
    </x:xf>
    <x:xf numFmtId="203" fontId="6" fillId="6" borderId="3" xfId="0" applyNumberFormat="1" applyFont="1" applyFill="1" applyBorder="1" applyAlignment="1">
      <x:alignment horizontal="center" vertical="center"/>
    </x:xf>
    <x:xf numFmtId="203" fontId="6" fillId="6" borderId="4" xfId="0" applyNumberFormat="1" applyFont="1" applyFill="1" applyBorder="1" applyAlignment="1">
      <x:alignment horizontal="center" vertical="center"/>
    </x:xf>
    <x:xf numFmtId="203" fontId="6" fillId="6" borderId="5" xfId="0" applyNumberFormat="1" applyFont="1" applyFill="1" applyBorder="1" applyAlignment="1">
      <x:alignment horizontal="center" vertical="center"/>
    </x:xf>
    <x:xf numFmtId="203" fontId="6" fillId="6" borderId="0" xfId="0" applyNumberFormat="1" applyFont="1" applyFill="1" applyBorder="1" applyAlignment="1">
      <x:alignment horizontal="center" vertical="center"/>
    </x:xf>
    <x:xf numFmtId="203" fontId="6" fillId="6" borderId="6" xfId="0" applyNumberFormat="1" applyFont="1" applyFill="1" applyBorder="1" applyAlignment="1">
      <x:alignment horizontal="center" vertical="center"/>
    </x:xf>
    <x:xf numFmtId="203" fontId="6" fillId="6" borderId="7" xfId="0" applyNumberFormat="1" applyFont="1" applyFill="1" applyBorder="1" applyAlignment="1">
      <x:alignment horizontal="center" vertical="center"/>
    </x:xf>
    <x:xf numFmtId="203" fontId="6" fillId="6" borderId="8" xfId="0" applyNumberFormat="1" applyFont="1" applyFill="1" applyBorder="1" applyAlignment="1">
      <x:alignment horizontal="center" vertical="center"/>
    </x:xf>
    <x:xf numFmtId="203" fontId="6" fillId="6" borderId="9" xfId="0" applyNumberFormat="1" applyFont="1" applyFill="1" applyBorder="1" applyAlignment="1">
      <x:alignment horizontal="center" vertical="center"/>
    </x:xf>
    <x:xf numFmtId="203" fontId="6" fillId="6" borderId="10" xfId="0" applyNumberFormat="1" applyFont="1" applyFill="1" applyBorder="1" applyAlignment="1">
      <x:alignment horizontal="center" vertical="center"/>
    </x:xf>
    <x:xf numFmtId="203" fontId="6" fillId="6" borderId="11" xfId="0" applyNumberFormat="1" applyFont="1" applyFill="1" applyBorder="1" applyAlignment="1">
      <x:alignment horizontal="center" vertical="center"/>
    </x:xf>
    <x:xf numFmtId="203" fontId="6" fillId="6" borderId="12" xfId="0" applyNumberFormat="1" applyFont="1" applyFill="1" applyBorder="1" applyAlignment="1">
      <x:alignment horizontal="center" vertical="center"/>
    </x:xf>
    <x:xf numFmtId="203" fontId="6" fillId="6" borderId="13" xfId="0" applyNumberFormat="1" applyFont="1" applyFill="1" applyBorder="1" applyAlignment="1">
      <x:alignment horizontal="center" vertical="center"/>
    </x:xf>
    <x:xf numFmtId="203" fontId="6" fillId="6" borderId="1" xfId="0" applyNumberFormat="1" applyFont="1" applyFill="1" applyBorder="1" applyAlignment="1">
      <x:alignment horizontal="center" vertical="center"/>
    </x:xf>
    <x:xf numFmtId="203" fontId="6" fillId="6" borderId="14" xfId="0" applyNumberFormat="1" applyFont="1" applyFill="1" applyBorder="1" applyAlignment="1">
      <x:alignment horizontal="center" vertical="center"/>
    </x:xf>
    <x:xf numFmtId="203" fontId="6" fillId="6" borderId="15" xfId="0" applyNumberFormat="1" applyFont="1" applyFill="1" applyBorder="1" applyAlignment="1">
      <x:alignment horizontal="center" vertical="center"/>
    </x:xf>
    <x:xf numFmtId="203" fontId="6" fillId="6" borderId="16" xfId="0" applyNumberFormat="1" applyFont="1" applyFill="1" applyBorder="1" applyAlignment="1">
      <x:alignment horizontal="center" vertical="center"/>
    </x:xf>
    <x:xf numFmtId="203" fontId="6" fillId="6" borderId="17" xfId="0" applyNumberFormat="1" applyFont="1" applyFill="1" applyBorder="1" applyAlignment="1">
      <x:alignment horizontal="center" vertical="center"/>
    </x:xf>
    <x:xf numFmtId="204" fontId="6" fillId="6" borderId="2" xfId="0" applyNumberFormat="1" applyFont="1" applyFill="1" applyBorder="1" applyAlignment="1">
      <x:alignment horizontal="center" vertical="center"/>
    </x:xf>
    <x:xf numFmtId="204" fontId="6" fillId="6" borderId="3" xfId="0" applyNumberFormat="1" applyFont="1" applyFill="1" applyBorder="1" applyAlignment="1">
      <x:alignment horizontal="center" vertical="center"/>
    </x:xf>
    <x:xf numFmtId="204" fontId="6" fillId="6" borderId="4" xfId="0" applyNumberFormat="1" applyFont="1" applyFill="1" applyBorder="1" applyAlignment="1">
      <x:alignment horizontal="center" vertical="center"/>
    </x:xf>
    <x:xf numFmtId="204" fontId="6" fillId="6" borderId="5" xfId="0" applyNumberFormat="1" applyFont="1" applyFill="1" applyBorder="1" applyAlignment="1">
      <x:alignment horizontal="center" vertical="center"/>
    </x:xf>
    <x:xf numFmtId="204" fontId="6" fillId="6" borderId="0" xfId="0" applyNumberFormat="1" applyFont="1" applyFill="1" applyBorder="1" applyAlignment="1">
      <x:alignment horizontal="center" vertical="center"/>
    </x:xf>
    <x:xf numFmtId="204" fontId="6" fillId="6" borderId="6" xfId="0" applyNumberFormat="1" applyFont="1" applyFill="1" applyBorder="1" applyAlignment="1">
      <x:alignment horizontal="center" vertical="center"/>
    </x:xf>
    <x:xf numFmtId="204" fontId="6" fillId="6" borderId="7" xfId="0" applyNumberFormat="1" applyFont="1" applyFill="1" applyBorder="1" applyAlignment="1">
      <x:alignment horizontal="center" vertical="center"/>
    </x:xf>
    <x:xf numFmtId="204" fontId="6" fillId="6" borderId="8" xfId="0" applyNumberFormat="1" applyFont="1" applyFill="1" applyBorder="1" applyAlignment="1">
      <x:alignment horizontal="center" vertical="center"/>
    </x:xf>
    <x:xf numFmtId="204" fontId="6" fillId="6" borderId="9" xfId="0" applyNumberFormat="1" applyFont="1" applyFill="1" applyBorder="1" applyAlignment="1">
      <x:alignment horizontal="center" vertical="center"/>
    </x:xf>
    <x:xf numFmtId="204" fontId="6" fillId="6" borderId="10" xfId="0" applyNumberFormat="1" applyFont="1" applyFill="1" applyBorder="1" applyAlignment="1">
      <x:alignment horizontal="center" vertical="center"/>
    </x:xf>
    <x:xf numFmtId="204" fontId="6" fillId="6" borderId="11" xfId="0" applyNumberFormat="1" applyFont="1" applyFill="1" applyBorder="1" applyAlignment="1">
      <x:alignment horizontal="center" vertical="center"/>
    </x:xf>
    <x:xf numFmtId="204" fontId="6" fillId="6" borderId="12" xfId="0" applyNumberFormat="1" applyFont="1" applyFill="1" applyBorder="1" applyAlignment="1">
      <x:alignment horizontal="center" vertical="center"/>
    </x:xf>
    <x:xf numFmtId="204" fontId="6" fillId="6" borderId="13" xfId="0" applyNumberFormat="1" applyFont="1" applyFill="1" applyBorder="1" applyAlignment="1">
      <x:alignment horizontal="center" vertical="center"/>
    </x:xf>
    <x:xf numFmtId="204" fontId="6" fillId="6" borderId="1" xfId="0" applyNumberFormat="1" applyFont="1" applyFill="1" applyBorder="1" applyAlignment="1">
      <x:alignment horizontal="center" vertical="center"/>
    </x:xf>
    <x:xf numFmtId="204" fontId="6" fillId="6" borderId="14" xfId="0" applyNumberFormat="1" applyFont="1" applyFill="1" applyBorder="1" applyAlignment="1">
      <x:alignment horizontal="center" vertical="center"/>
    </x:xf>
    <x:xf numFmtId="204" fontId="6" fillId="6" borderId="15" xfId="0" applyNumberFormat="1" applyFont="1" applyFill="1" applyBorder="1" applyAlignment="1">
      <x:alignment horizontal="center" vertical="center"/>
    </x:xf>
    <x:xf numFmtId="204" fontId="6" fillId="6" borderId="16" xfId="0" applyNumberFormat="1" applyFont="1" applyFill="1" applyBorder="1" applyAlignment="1">
      <x:alignment horizontal="center" vertical="center"/>
    </x:xf>
    <x:xf numFmtId="204" fontId="6" fillId="6" borderId="17" xfId="0" applyNumberFormat="1" applyFont="1" applyFill="1" applyBorder="1" applyAlignment="1">
      <x:alignment horizontal="center" vertical="center"/>
    </x:xf>
    <x:xf numFmtId="205" fontId="6" fillId="6" borderId="2" xfId="0" applyNumberFormat="1" applyFont="1" applyFill="1" applyBorder="1" applyAlignment="1">
      <x:alignment horizontal="center" vertical="center"/>
    </x:xf>
    <x:xf numFmtId="205" fontId="6" fillId="6" borderId="3" xfId="0" applyNumberFormat="1" applyFont="1" applyFill="1" applyBorder="1" applyAlignment="1">
      <x:alignment horizontal="center" vertical="center"/>
    </x:xf>
    <x:xf numFmtId="205" fontId="6" fillId="6" borderId="4" xfId="0" applyNumberFormat="1" applyFont="1" applyFill="1" applyBorder="1" applyAlignment="1">
      <x:alignment horizontal="center" vertical="center"/>
    </x:xf>
    <x:xf numFmtId="205" fontId="6" fillId="6" borderId="5" xfId="0" applyNumberFormat="1" applyFont="1" applyFill="1" applyBorder="1" applyAlignment="1">
      <x:alignment horizontal="center" vertical="center"/>
    </x:xf>
    <x:xf numFmtId="205" fontId="6" fillId="6" borderId="0" xfId="0" applyNumberFormat="1" applyFont="1" applyFill="1" applyBorder="1" applyAlignment="1">
      <x:alignment horizontal="center" vertical="center"/>
    </x:xf>
    <x:xf numFmtId="205" fontId="6" fillId="6" borderId="6" xfId="0" applyNumberFormat="1" applyFont="1" applyFill="1" applyBorder="1" applyAlignment="1">
      <x:alignment horizontal="center" vertical="center"/>
    </x:xf>
    <x:xf numFmtId="205" fontId="6" fillId="6" borderId="7" xfId="0" applyNumberFormat="1" applyFont="1" applyFill="1" applyBorder="1" applyAlignment="1">
      <x:alignment horizontal="center" vertical="center"/>
    </x:xf>
    <x:xf numFmtId="205" fontId="6" fillId="6" borderId="8" xfId="0" applyNumberFormat="1" applyFont="1" applyFill="1" applyBorder="1" applyAlignment="1">
      <x:alignment horizontal="center" vertical="center"/>
    </x:xf>
    <x:xf numFmtId="205" fontId="6" fillId="6" borderId="9" xfId="0" applyNumberFormat="1" applyFont="1" applyFill="1" applyBorder="1" applyAlignment="1">
      <x:alignment horizontal="center" vertical="center"/>
    </x:xf>
    <x:xf numFmtId="205" fontId="6" fillId="6" borderId="10" xfId="0" applyNumberFormat="1" applyFont="1" applyFill="1" applyBorder="1" applyAlignment="1">
      <x:alignment horizontal="center" vertical="center"/>
    </x:xf>
    <x:xf numFmtId="205" fontId="6" fillId="6" borderId="11" xfId="0" applyNumberFormat="1" applyFont="1" applyFill="1" applyBorder="1" applyAlignment="1">
      <x:alignment horizontal="center" vertical="center"/>
    </x:xf>
    <x:xf numFmtId="205" fontId="6" fillId="6" borderId="12" xfId="0" applyNumberFormat="1" applyFont="1" applyFill="1" applyBorder="1" applyAlignment="1">
      <x:alignment horizontal="center" vertical="center"/>
    </x:xf>
    <x:xf numFmtId="205" fontId="6" fillId="6" borderId="13" xfId="0" applyNumberFormat="1" applyFont="1" applyFill="1" applyBorder="1" applyAlignment="1">
      <x:alignment horizontal="center" vertical="center"/>
    </x:xf>
    <x:xf numFmtId="205" fontId="6" fillId="6" borderId="1" xfId="0" applyNumberFormat="1" applyFont="1" applyFill="1" applyBorder="1" applyAlignment="1">
      <x:alignment horizontal="center" vertical="center"/>
    </x:xf>
    <x:xf numFmtId="205" fontId="6" fillId="6" borderId="14" xfId="0" applyNumberFormat="1" applyFont="1" applyFill="1" applyBorder="1" applyAlignment="1">
      <x:alignment horizontal="center" vertical="center"/>
    </x:xf>
    <x:xf numFmtId="205" fontId="6" fillId="6" borderId="15" xfId="0" applyNumberFormat="1" applyFont="1" applyFill="1" applyBorder="1" applyAlignment="1">
      <x:alignment horizontal="center" vertical="center"/>
    </x:xf>
    <x:xf numFmtId="205" fontId="6" fillId="6" borderId="16" xfId="0" applyNumberFormat="1" applyFont="1" applyFill="1" applyBorder="1" applyAlignment="1">
      <x:alignment horizontal="center" vertical="center"/>
    </x:xf>
    <x:xf numFmtId="205" fontId="6" fillId="6" borderId="17" xfId="0" applyNumberFormat="1" applyFont="1" applyFill="1" applyBorder="1" applyAlignment="1">
      <x:alignment horizontal="center" vertical="center"/>
    </x:xf>
    <x:xf numFmtId="202" fontId="6" fillId="6" borderId="2" xfId="0" applyNumberFormat="1" applyFont="1" applyFill="1" applyBorder="1" applyAlignment="1">
      <x:alignment horizontal="center" vertical="center"/>
    </x:xf>
    <x:xf numFmtId="202" fontId="6" fillId="6" borderId="3" xfId="0" applyNumberFormat="1" applyFont="1" applyFill="1" applyBorder="1" applyAlignment="1">
      <x:alignment horizontal="center" vertical="center"/>
    </x:xf>
    <x:xf numFmtId="202" fontId="6" fillId="6" borderId="4" xfId="0" applyNumberFormat="1" applyFont="1" applyFill="1" applyBorder="1" applyAlignment="1">
      <x:alignment horizontal="center" vertical="center"/>
    </x:xf>
    <x:xf numFmtId="202" fontId="6" fillId="6" borderId="5" xfId="0" applyNumberFormat="1" applyFont="1" applyFill="1" applyBorder="1" applyAlignment="1">
      <x:alignment horizontal="center" vertical="center"/>
    </x:xf>
    <x:xf numFmtId="202" fontId="6" fillId="6" borderId="0" xfId="0" applyNumberFormat="1" applyFont="1" applyFill="1" applyBorder="1" applyAlignment="1">
      <x:alignment horizontal="center" vertical="center"/>
    </x:xf>
    <x:xf numFmtId="202" fontId="6" fillId="6" borderId="6" xfId="0" applyNumberFormat="1" applyFont="1" applyFill="1" applyBorder="1" applyAlignment="1">
      <x:alignment horizontal="center" vertical="center"/>
    </x:xf>
    <x:xf numFmtId="202" fontId="6" fillId="6" borderId="7" xfId="0" applyNumberFormat="1" applyFont="1" applyFill="1" applyBorder="1" applyAlignment="1">
      <x:alignment horizontal="center" vertical="center"/>
    </x:xf>
    <x:xf numFmtId="202" fontId="6" fillId="6" borderId="8" xfId="0" applyNumberFormat="1" applyFont="1" applyFill="1" applyBorder="1" applyAlignment="1">
      <x:alignment horizontal="center" vertical="center"/>
    </x:xf>
    <x:xf numFmtId="202" fontId="6" fillId="6" borderId="9" xfId="0" applyNumberFormat="1" applyFont="1" applyFill="1" applyBorder="1" applyAlignment="1">
      <x:alignment horizontal="center" vertical="center"/>
    </x:xf>
    <x:xf numFmtId="202" fontId="6" fillId="6" borderId="10" xfId="0" applyNumberFormat="1" applyFont="1" applyFill="1" applyBorder="1" applyAlignment="1">
      <x:alignment horizontal="center" vertical="center"/>
    </x:xf>
    <x:xf numFmtId="202" fontId="6" fillId="6" borderId="11" xfId="0" applyNumberFormat="1" applyFont="1" applyFill="1" applyBorder="1" applyAlignment="1">
      <x:alignment horizontal="center" vertical="center"/>
    </x:xf>
    <x:xf numFmtId="202" fontId="6" fillId="6" borderId="12" xfId="0" applyNumberFormat="1" applyFont="1" applyFill="1" applyBorder="1" applyAlignment="1">
      <x:alignment horizontal="center" vertical="center"/>
    </x:xf>
    <x:xf numFmtId="202" fontId="6" fillId="6" borderId="13" xfId="0" applyNumberFormat="1" applyFont="1" applyFill="1" applyBorder="1" applyAlignment="1">
      <x:alignment horizontal="center" vertical="center"/>
    </x:xf>
    <x:xf numFmtId="202" fontId="6" fillId="6" borderId="1" xfId="0" applyNumberFormat="1" applyFont="1" applyFill="1" applyBorder="1" applyAlignment="1">
      <x:alignment horizontal="center" vertical="center"/>
    </x:xf>
    <x:xf numFmtId="202" fontId="6" fillId="6" borderId="14" xfId="0" applyNumberFormat="1" applyFont="1" applyFill="1" applyBorder="1" applyAlignment="1">
      <x:alignment horizontal="center" vertical="center"/>
    </x:xf>
    <x:xf numFmtId="202" fontId="6" fillId="6" borderId="15" xfId="0" applyNumberFormat="1" applyFont="1" applyFill="1" applyBorder="1" applyAlignment="1">
      <x:alignment horizontal="center" vertical="center"/>
    </x:xf>
    <x:xf numFmtId="202" fontId="6" fillId="6" borderId="16" xfId="0" applyNumberFormat="1" applyFont="1" applyFill="1" applyBorder="1" applyAlignment="1">
      <x:alignment horizontal="center" vertical="center"/>
    </x:xf>
    <x:xf numFmtId="202" fontId="6" fillId="6" borderId="17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0" fontId="0" fillId="0" borderId="11" xfId="0" applyNumberFormat="1" applyFont="1" applyFill="1" applyBorder="1"/>
    <x:xf numFmtId="0" fontId="0" fillId="0" borderId="15" xfId="0" applyNumberFormat="1" applyFont="1" applyFill="1" applyBorder="1"/>
    <x:xf numFmtId="0" fontId="0" fillId="4" borderId="3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4" borderId="11" xfId="0" applyNumberFormat="1" applyFont="1" applyFill="1" applyBorder="1"/>
    <x:xf numFmtId="0" fontId="3" fillId="4" borderId="11" xfId="0" applyNumberFormat="1" applyFont="1" applyFill="1" applyBorder="1"/>
    <x:xf numFmtId="0" fontId="3" fillId="4" borderId="11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34F5C"/>
      </x:font>
      <x:fill>
        <x:patternFill patternType="solid">
          <x:bgColor rgb="FFD9EAF7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6892597fe44a1" /><Relationship Type="http://schemas.openxmlformats.org/officeDocument/2006/relationships/theme" Target="/xl/theme/theme1.xml" Id="R181aa99a060b4cc5" /><Relationship Type="http://schemas.openxmlformats.org/officeDocument/2006/relationships/sharedStrings" Target="/xl/sharedStrings.xml" Id="R8978878de9d54f1d" /><Relationship Type="http://schemas.openxmlformats.org/officeDocument/2006/relationships/worksheet" Target="/xl/worksheets/sheet1.xml" Id="R7d991d93fe714017" /><Relationship Type="http://schemas.openxmlformats.org/officeDocument/2006/relationships/worksheet" Target="/xl/worksheets/sheet2.xml" Id="R4bba12804f714e5f" /><Relationship Type="http://schemas.openxmlformats.org/officeDocument/2006/relationships/worksheet" Target="/xl/worksheets/sheet3.xml" Id="R7fff8b9d1245434a" /><Relationship Type="http://schemas.openxmlformats.org/officeDocument/2006/relationships/worksheet" Target="/xl/worksheets/sheet4.xml" Id="Rc7bc906bd0f94a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1ac0441d694a5c" /><Relationship Type="http://schemas.openxmlformats.org/officeDocument/2006/relationships/chart" Target="/xl/drawings/charts/chart2.xml" Id="Re87824aec7c245df" /><Relationship Type="http://schemas.openxmlformats.org/officeDocument/2006/relationships/chart" Target="/xl/drawings/charts/chart3.xml" Id="Rdcb356de5b0447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Recommended Management Actions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Items</c:v>
          </c:tx>
          <c:cat>
            <c:strRef>
              <c:f>'Dashboard'!$A$32:$A$35</c:f>
              <c:strCache>
                <c:ptCount val="0"/>
              </c:strCache>
            </c:strRef>
          </c:cat>
          <c:val>
            <c:numRef>
              <c:f>'Dashboard'!$B$32:$B$35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E-Waste Weight by Recommended Action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Weight (kg)</c:v>
          </c:tx>
          <c:cat>
            <c:strRef>
              <c:f>'Dashboard'!$D$32:$D$35</c:f>
              <c:strCache>
                <c:ptCount val="0"/>
              </c:strCache>
            </c:strRef>
          </c:cat>
          <c:val>
            <c:numRef>
              <c:f>'Dashboard'!$E$32:$E$35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Simulated Inventory by Category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Items</c:v>
          </c:tx>
          <c:cat>
            <c:strRef>
              <c:f>'Dashboard'!$G$32:$G$41</c:f>
              <c:strCache>
                <c:ptCount val="0"/>
              </c:strCache>
            </c:strRef>
          </c:cat>
          <c:val>
            <c:numRef>
              <c:f>'Dashboard'!$H$32:$H$41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1ac0441d694a5c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7824aec7c245df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12</xdr:col>
      <xdr:colOff>0</xdr:colOff>
      <xdr:row>65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b356de5b04477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wasteInventoryTable" displayName="EwasteInventoryTable" ref="A4:M104" headerRowCount="1">
  <x:tableColumns count="13">
    <x:tableColumn id="1" name="Item ID"/>
    <x:tableColumn id="2" name="Category"/>
    <x:tableColumn id="3" name="Department"/>
    <x:tableColumn id="4" name="Age (years)"/>
    <x:tableColumn id="5" name="Condition"/>
    <x:tableColumn id="6" name="Weight (kg)"/>
    <x:tableColumn id="7" name="Repair Cost (BDT)"/>
    <x:tableColumn id="8" name="Replacement Cost (BDT)"/>
    <x:tableColumn id="9" name="Hazardous Component"/>
    <x:tableColumn id="10" name="Recommended Action"/>
    <x:tableColumn id="11" name="Decision Rationale"/>
    <x:tableColumn id="12" name="Estimated CO2e Benefit (kg)"/>
    <x:tableColumn id="13" name="Estimated Direct Saving (BDT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bc88b7588040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cc4a5be52664a15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1" hidden="0" customWidth="1"/>
    <x:col min="3" max="3" width="20" hidden="0" customWidth="1"/>
    <x:col min="4" max="4" width="12" hidden="0" customWidth="1"/>
    <x:col min="5" max="5" width="20" hidden="0" customWidth="1"/>
    <x:col min="6" max="6" width="12" hidden="0" customWidth="1"/>
    <x:col min="7" max="7" width="18" hidden="0" customWidth="1"/>
    <x:col min="8" max="8" width="21" hidden="0" customWidth="1"/>
    <x:col min="9" max="9" width="20" hidden="0" customWidth="1"/>
    <x:col min="10" max="10" width="19" hidden="0" customWidth="1"/>
    <x:col min="11" max="11" width="52" hidden="0" customWidth="1"/>
    <x:col min="12" max="12" width="24" hidden="0" customWidth="1"/>
    <x:col min="13" max="13" width="27" hidden="0" customWidth="1"/>
  </x:cols>
  <x:sheetData>
    <x:row r="1" ht="30" customHeight="1">
      <x:c r="A1" s="5" t="str">
        <x:v>East West University E-Waste Inventory — Simulated Academic Dataset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3" t="str">
        <x:v>Columns A–M are imported from the generated CSV. The Summary and Dashboard sheets calculate their results from these rows.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6" customHeight="1">
      <x:c r="A4" s="22" t="str">
        <x:v>Item ID</x:v>
      </x:c>
      <x:c r="B4" s="22" t="str">
        <x:v>Category</x:v>
      </x:c>
      <x:c r="C4" s="22" t="str">
        <x:v>Department</x:v>
      </x:c>
      <x:c r="D4" s="22" t="str">
        <x:v>Age (years)</x:v>
      </x:c>
      <x:c r="E4" s="22" t="str">
        <x:v>Condition</x:v>
      </x:c>
      <x:c r="F4" s="22" t="str">
        <x:v>Weight (kg)</x:v>
      </x:c>
      <x:c r="G4" s="22" t="str">
        <x:v>Repair Cost (BDT)</x:v>
      </x:c>
      <x:c r="H4" s="22" t="str">
        <x:v>Replacement Cost (BDT)</x:v>
      </x:c>
      <x:c r="I4" s="22" t="str">
        <x:v>Hazardous Component</x:v>
      </x:c>
      <x:c r="J4" s="22" t="str">
        <x:v>Recommended Action</x:v>
      </x:c>
      <x:c r="K4" s="22" t="str">
        <x:v>Decision Rationale</x:v>
      </x:c>
      <x:c r="L4" s="22" t="str">
        <x:v>Estimated CO2e Benefit (kg)</x:v>
      </x:c>
      <x:c r="M4" s="22" t="str">
        <x:v>Estimated Direct Saving (BDT)</x:v>
      </x:c>
    </x:row>
    <x:row r="5">
      <x:c r="A5" s="90" t="str">
        <x:v>EWU-EW-001</x:v>
      </x:c>
      <x:c r="B5" s="90" t="str">
        <x:v>Desktop Computer</x:v>
      </x:c>
      <x:c r="C5" s="90" t="str">
        <x:v>Administration</x:v>
      </x:c>
      <x:c r="D5" s="121" t="n">
        <x:v>8</x:v>
      </x:c>
      <x:c r="E5" s="90" t="str">
        <x:v>Non-functional</x:v>
      </x:c>
      <x:c r="F5" s="92" t="n">
        <x:v>9.75</x:v>
      </x:c>
      <x:c r="G5" s="95" t="n">
        <x:v>41000</x:v>
      </x:c>
      <x:c r="H5" s="95" t="n">
        <x:v>52700</x:v>
      </x:c>
      <x:c r="I5" s="90" t="str">
        <x:v>No</x:v>
      </x:c>
      <x:c r="J5" s="90" t="str">
        <x:v>Recycle</x:v>
      </x:c>
      <x:c r="K5" s="97" t="str">
        <x:v>Not economical to repair; recoverable materials remain.</x:v>
      </x:c>
      <x:c r="L5" s="122" t="n">
        <x:v>10.73</x:v>
      </x:c>
      <x:c r="M5" s="95" t="n">
        <x:v>1170</x:v>
      </x:c>
    </x:row>
    <x:row r="6">
      <x:c r="A6" s="90" t="str">
        <x:v>EWU-EW-002</x:v>
      </x:c>
      <x:c r="B6" s="90" t="str">
        <x:v>Desktop Computer</x:v>
      </x:c>
      <x:c r="C6" s="90" t="str">
        <x:v>Library</x:v>
      </x:c>
      <x:c r="D6" s="121" t="n">
        <x:v>7</x:v>
      </x:c>
      <x:c r="E6" s="90" t="str">
        <x:v>Non-functional</x:v>
      </x:c>
      <x:c r="F6" s="92" t="n">
        <x:v>8.81</x:v>
      </x:c>
      <x:c r="G6" s="95" t="n">
        <x:v>33400</x:v>
      </x:c>
      <x:c r="H6" s="95" t="n">
        <x:v>50300</x:v>
      </x:c>
      <x:c r="I6" s="90" t="str">
        <x:v>No</x:v>
      </x:c>
      <x:c r="J6" s="90" t="str">
        <x:v>Recycle</x:v>
      </x:c>
      <x:c r="K6" s="97" t="str">
        <x:v>Not economical to repair; recoverable materials remain.</x:v>
      </x:c>
      <x:c r="L6" s="122" t="n">
        <x:v>9.69</x:v>
      </x:c>
      <x:c r="M6" s="95" t="n">
        <x:v>1057</x:v>
      </x:c>
    </x:row>
    <x:row r="7">
      <x:c r="A7" s="90" t="str">
        <x:v>EWU-EW-003</x:v>
      </x:c>
      <x:c r="B7" s="90" t="str">
        <x:v>Desktop Computer</x:v>
      </x:c>
      <x:c r="C7" s="90" t="str">
        <x:v>EEE Laboratory</x:v>
      </x:c>
      <x:c r="D7" s="121" t="n">
        <x:v>6</x:v>
      </x:c>
      <x:c r="E7" s="90" t="str">
        <x:v>Obsolete</x:v>
      </x:c>
      <x:c r="F7" s="92" t="n">
        <x:v>9.39</x:v>
      </x:c>
      <x:c r="G7" s="95" t="n">
        <x:v>40200</x:v>
      </x:c>
      <x:c r="H7" s="95" t="n">
        <x:v>49300</x:v>
      </x:c>
      <x:c r="I7" s="90" t="str">
        <x:v>No</x:v>
      </x:c>
      <x:c r="J7" s="90" t="str">
        <x:v>Recycle</x:v>
      </x:c>
      <x:c r="K7" s="97" t="str">
        <x:v>Not economical to repair; recoverable materials remain.</x:v>
      </x:c>
      <x:c r="L7" s="122" t="n">
        <x:v>10.33</x:v>
      </x:c>
      <x:c r="M7" s="95" t="n">
        <x:v>1126</x:v>
      </x:c>
    </x:row>
    <x:row r="8">
      <x:c r="A8" s="90" t="str">
        <x:v>EWU-EW-004</x:v>
      </x:c>
      <x:c r="B8" s="90" t="str">
        <x:v>Desktop Computer</x:v>
      </x:c>
      <x:c r="C8" s="90" t="str">
        <x:v>Student Services</x:v>
      </x:c>
      <x:c r="D8" s="121" t="n">
        <x:v>5</x:v>
      </x:c>
      <x:c r="E8" s="90" t="str">
        <x:v>Minor Fault</x:v>
      </x:c>
      <x:c r="F8" s="92" t="n">
        <x:v>8.57</x:v>
      </x:c>
      <x:c r="G8" s="95" t="n">
        <x:v>7300</x:v>
      </x:c>
      <x:c r="H8" s="95" t="n">
        <x:v>51700</x:v>
      </x:c>
      <x:c r="I8" s="90" t="str">
        <x:v>No</x:v>
      </x:c>
      <x:c r="J8" s="90" t="str">
        <x:v>Repair</x:v>
      </x:c>
      <x:c r="K8" s="97" t="str">
        <x:v>Repair cost is below the 40% replacement-cost threshold.</x:v>
      </x:c>
      <x:c r="L8" s="122" t="n">
        <x:v>18.85</x:v>
      </x:c>
      <x:c r="M8" s="95" t="n">
        <x:v>44400</x:v>
      </x:c>
    </x:row>
    <x:row r="9">
      <x:c r="A9" s="90" t="str">
        <x:v>EWU-EW-005</x:v>
      </x:c>
      <x:c r="B9" s="90" t="str">
        <x:v>Desktop Computer</x:v>
      </x:c>
      <x:c r="C9" s="90" t="str">
        <x:v>Student Services</x:v>
      </x:c>
      <x:c r="D9" s="121" t="n">
        <x:v>6</x:v>
      </x:c>
      <x:c r="E9" s="90" t="str">
        <x:v>Minor Fault</x:v>
      </x:c>
      <x:c r="F9" s="92" t="n">
        <x:v>8.16</x:v>
      </x:c>
      <x:c r="G9" s="95" t="n">
        <x:v>13000</x:v>
      </x:c>
      <x:c r="H9" s="95" t="n">
        <x:v>53800</x:v>
      </x:c>
      <x:c r="I9" s="90" t="str">
        <x:v>No</x:v>
      </x:c>
      <x:c r="J9" s="90" t="str">
        <x:v>Repair</x:v>
      </x:c>
      <x:c r="K9" s="97" t="str">
        <x:v>Repair cost is below the 40% replacement-cost threshold.</x:v>
      </x:c>
      <x:c r="L9" s="122" t="n">
        <x:v>17.95</x:v>
      </x:c>
      <x:c r="M9" s="95" t="n">
        <x:v>40800</x:v>
      </x:c>
    </x:row>
    <x:row r="10">
      <x:c r="A10" s="90" t="str">
        <x:v>EWU-EW-006</x:v>
      </x:c>
      <x:c r="B10" s="90" t="str">
        <x:v>Desktop Computer</x:v>
      </x:c>
      <x:c r="C10" s="90" t="str">
        <x:v>EEE Laboratory</x:v>
      </x:c>
      <x:c r="D10" s="121" t="n">
        <x:v>6</x:v>
      </x:c>
      <x:c r="E10" s="90" t="str">
        <x:v>Minor Fault</x:v>
      </x:c>
      <x:c r="F10" s="92" t="n">
        <x:v>10.75</x:v>
      </x:c>
      <x:c r="G10" s="95" t="n">
        <x:v>16400</x:v>
      </x:c>
      <x:c r="H10" s="95" t="n">
        <x:v>55400</x:v>
      </x:c>
      <x:c r="I10" s="90" t="str">
        <x:v>No</x:v>
      </x:c>
      <x:c r="J10" s="90" t="str">
        <x:v>Repair</x:v>
      </x:c>
      <x:c r="K10" s="97" t="str">
        <x:v>Repair cost is below the 40% replacement-cost threshold.</x:v>
      </x:c>
      <x:c r="L10" s="122" t="n">
        <x:v>23.65</x:v>
      </x:c>
      <x:c r="M10" s="95" t="n">
        <x:v>39000</x:v>
      </x:c>
    </x:row>
    <x:row r="11">
      <x:c r="A11" s="90" t="str">
        <x:v>EWU-EW-007</x:v>
      </x:c>
      <x:c r="B11" s="90" t="str">
        <x:v>Desktop Computer</x:v>
      </x:c>
      <x:c r="C11" s="90" t="str">
        <x:v>Administration</x:v>
      </x:c>
      <x:c r="D11" s="121" t="n">
        <x:v>3</x:v>
      </x:c>
      <x:c r="E11" s="90" t="str">
        <x:v>Good</x:v>
      </x:c>
      <x:c r="F11" s="92" t="n">
        <x:v>7.4</x:v>
      </x:c>
      <x:c r="G11" s="95" t="n">
        <x:v>0</x:v>
      </x:c>
      <x:c r="H11" s="95" t="n">
        <x:v>51000</x:v>
      </x:c>
      <x:c r="I11" s="90" t="str">
        <x:v>No</x:v>
      </x:c>
      <x:c r="J11" s="90" t="str">
        <x:v>Reuse</x:v>
      </x:c>
      <x:c r="K11" s="97" t="str">
        <x:v>Functional and suitable for reassignment after inspection.</x:v>
      </x:c>
      <x:c r="L11" s="122" t="n">
        <x:v>22.2</x:v>
      </x:c>
      <x:c r="M11" s="95" t="n">
        <x:v>35700</x:v>
      </x:c>
    </x:row>
    <x:row r="12">
      <x:c r="A12" s="90" t="str">
        <x:v>EWU-EW-008</x:v>
      </x:c>
      <x:c r="B12" s="90" t="str">
        <x:v>Desktop Computer</x:v>
      </x:c>
      <x:c r="C12" s="90" t="str">
        <x:v>CSE Laboratory</x:v>
      </x:c>
      <x:c r="D12" s="121" t="n">
        <x:v>7</x:v>
      </x:c>
      <x:c r="E12" s="90" t="str">
        <x:v>Obsolete</x:v>
      </x:c>
      <x:c r="F12" s="92" t="n">
        <x:v>8.67</x:v>
      </x:c>
      <x:c r="G12" s="95" t="n">
        <x:v>32300</x:v>
      </x:c>
      <x:c r="H12" s="95" t="n">
        <x:v>54800</x:v>
      </x:c>
      <x:c r="I12" s="90" t="str">
        <x:v>No</x:v>
      </x:c>
      <x:c r="J12" s="90" t="str">
        <x:v>Recycle</x:v>
      </x:c>
      <x:c r="K12" s="97" t="str">
        <x:v>Not economical to repair; recoverable materials remain.</x:v>
      </x:c>
      <x:c r="L12" s="122" t="n">
        <x:v>9.54</x:v>
      </x:c>
      <x:c r="M12" s="95" t="n">
        <x:v>1040</x:v>
      </x:c>
    </x:row>
    <x:row r="13">
      <x:c r="A13" s="90" t="str">
        <x:v>EWU-EW-009</x:v>
      </x:c>
      <x:c r="B13" s="90" t="str">
        <x:v>Desktop Computer</x:v>
      </x:c>
      <x:c r="C13" s="90" t="str">
        <x:v>Faculty Offices</x:v>
      </x:c>
      <x:c r="D13" s="121" t="n">
        <x:v>3</x:v>
      </x:c>
      <x:c r="E13" s="90" t="str">
        <x:v>Fair</x:v>
      </x:c>
      <x:c r="F13" s="92" t="n">
        <x:v>6.13</x:v>
      </x:c>
      <x:c r="G13" s="95" t="n">
        <x:v>0</x:v>
      </x:c>
      <x:c r="H13" s="95" t="n">
        <x:v>53400</x:v>
      </x:c>
      <x:c r="I13" s="90" t="str">
        <x:v>No</x:v>
      </x:c>
      <x:c r="J13" s="90" t="str">
        <x:v>Reuse</x:v>
      </x:c>
      <x:c r="K13" s="97" t="str">
        <x:v>Functional and suitable for reassignment after inspection.</x:v>
      </x:c>
      <x:c r="L13" s="122" t="n">
        <x:v>18.39</x:v>
      </x:c>
      <x:c r="M13" s="95" t="n">
        <x:v>37380</x:v>
      </x:c>
    </x:row>
    <x:row r="14">
      <x:c r="A14" s="90" t="str">
        <x:v>EWU-EW-010</x:v>
      </x:c>
      <x:c r="B14" s="90" t="str">
        <x:v>Desktop Computer</x:v>
      </x:c>
      <x:c r="C14" s="90" t="str">
        <x:v>CSE Laboratory</x:v>
      </x:c>
      <x:c r="D14" s="121" t="n">
        <x:v>4</x:v>
      </x:c>
      <x:c r="E14" s="90" t="str">
        <x:v>Good</x:v>
      </x:c>
      <x:c r="F14" s="92" t="n">
        <x:v>8.83</x:v>
      </x:c>
      <x:c r="G14" s="95" t="n">
        <x:v>0</x:v>
      </x:c>
      <x:c r="H14" s="95" t="n">
        <x:v>53700</x:v>
      </x:c>
      <x:c r="I14" s="90" t="str">
        <x:v>No</x:v>
      </x:c>
      <x:c r="J14" s="90" t="str">
        <x:v>Reuse</x:v>
      </x:c>
      <x:c r="K14" s="97" t="str">
        <x:v>Functional and suitable for reassignment after inspection.</x:v>
      </x:c>
      <x:c r="L14" s="122" t="n">
        <x:v>26.49</x:v>
      </x:c>
      <x:c r="M14" s="95" t="n">
        <x:v>37590</x:v>
      </x:c>
    </x:row>
    <x:row r="15">
      <x:c r="A15" s="90" t="str">
        <x:v>EWU-EW-011</x:v>
      </x:c>
      <x:c r="B15" s="90" t="str">
        <x:v>Desktop Computer</x:v>
      </x:c>
      <x:c r="C15" s="90" t="str">
        <x:v>Library</x:v>
      </x:c>
      <x:c r="D15" s="121" t="n">
        <x:v>3</x:v>
      </x:c>
      <x:c r="E15" s="90" t="str">
        <x:v>Good</x:v>
      </x:c>
      <x:c r="F15" s="92" t="n">
        <x:v>9.88</x:v>
      </x:c>
      <x:c r="G15" s="95" t="n">
        <x:v>0</x:v>
      </x:c>
      <x:c r="H15" s="95" t="n">
        <x:v>47600</x:v>
      </x:c>
      <x:c r="I15" s="90" t="str">
        <x:v>No</x:v>
      </x:c>
      <x:c r="J15" s="90" t="str">
        <x:v>Reuse</x:v>
      </x:c>
      <x:c r="K15" s="97" t="str">
        <x:v>Functional and suitable for reassignment after inspection.</x:v>
      </x:c>
      <x:c r="L15" s="122" t="n">
        <x:v>29.64</x:v>
      </x:c>
      <x:c r="M15" s="95" t="n">
        <x:v>33320</x:v>
      </x:c>
    </x:row>
    <x:row r="16">
      <x:c r="A16" s="90" t="str">
        <x:v>EWU-EW-012</x:v>
      </x:c>
      <x:c r="B16" s="90" t="str">
        <x:v>Desktop Computer</x:v>
      </x:c>
      <x:c r="C16" s="90" t="str">
        <x:v>Faculty Offices</x:v>
      </x:c>
      <x:c r="D16" s="121" t="n">
        <x:v>3</x:v>
      </x:c>
      <x:c r="E16" s="90" t="str">
        <x:v>Fair</x:v>
      </x:c>
      <x:c r="F16" s="92" t="n">
        <x:v>9.07</x:v>
      </x:c>
      <x:c r="G16" s="95" t="n">
        <x:v>8100</x:v>
      </x:c>
      <x:c r="H16" s="95" t="n">
        <x:v>62200</x:v>
      </x:c>
      <x:c r="I16" s="90" t="str">
        <x:v>No</x:v>
      </x:c>
      <x:c r="J16" s="90" t="str">
        <x:v>Repair</x:v>
      </x:c>
      <x:c r="K16" s="97" t="str">
        <x:v>Repair cost is below the 40% replacement-cost threshold.</x:v>
      </x:c>
      <x:c r="L16" s="122" t="n">
        <x:v>19.95</x:v>
      </x:c>
      <x:c r="M16" s="95" t="n">
        <x:v>54100</x:v>
      </x:c>
    </x:row>
    <x:row r="17">
      <x:c r="A17" s="90" t="str">
        <x:v>EWU-EW-013</x:v>
      </x:c>
      <x:c r="B17" s="90" t="str">
        <x:v>Desktop Computer</x:v>
      </x:c>
      <x:c r="C17" s="90" t="str">
        <x:v>Student Services</x:v>
      </x:c>
      <x:c r="D17" s="121" t="n">
        <x:v>11</x:v>
      </x:c>
      <x:c r="E17" s="90" t="str">
        <x:v>Major Fault</x:v>
      </x:c>
      <x:c r="F17" s="92" t="n">
        <x:v>6.3</x:v>
      </x:c>
      <x:c r="G17" s="95" t="n">
        <x:v>43300</x:v>
      </x:c>
      <x:c r="H17" s="95" t="n">
        <x:v>58200</x:v>
      </x:c>
      <x:c r="I17" s="90" t="str">
        <x:v>No</x:v>
      </x:c>
      <x:c r="J17" s="90" t="str">
        <x:v>Recycle</x:v>
      </x:c>
      <x:c r="K17" s="97" t="str">
        <x:v>Not economical to repair; recoverable materials remain.</x:v>
      </x:c>
      <x:c r="L17" s="122" t="n">
        <x:v>6.93</x:v>
      </x:c>
      <x:c r="M17" s="95" t="n">
        <x:v>756</x:v>
      </x:c>
    </x:row>
    <x:row r="18">
      <x:c r="A18" s="90" t="str">
        <x:v>EWU-EW-014</x:v>
      </x:c>
      <x:c r="B18" s="90" t="str">
        <x:v>Desktop Computer</x:v>
      </x:c>
      <x:c r="C18" s="90" t="str">
        <x:v>IT Services</x:v>
      </x:c>
      <x:c r="D18" s="121" t="n">
        <x:v>5</x:v>
      </x:c>
      <x:c r="E18" s="90" t="str">
        <x:v>Minor Fault</x:v>
      </x:c>
      <x:c r="F18" s="92" t="n">
        <x:v>8.85</x:v>
      </x:c>
      <x:c r="G18" s="95" t="n">
        <x:v>18300</x:v>
      </x:c>
      <x:c r="H18" s="95" t="n">
        <x:v>57800</x:v>
      </x:c>
      <x:c r="I18" s="90" t="str">
        <x:v>No</x:v>
      </x:c>
      <x:c r="J18" s="90" t="str">
        <x:v>Repair</x:v>
      </x:c>
      <x:c r="K18" s="97" t="str">
        <x:v>Repair cost is below the 40% replacement-cost threshold.</x:v>
      </x:c>
      <x:c r="L18" s="122" t="n">
        <x:v>19.47</x:v>
      </x:c>
      <x:c r="M18" s="95" t="n">
        <x:v>39500</x:v>
      </x:c>
    </x:row>
    <x:row r="19">
      <x:c r="A19" s="90" t="str">
        <x:v>EWU-EW-015</x:v>
      </x:c>
      <x:c r="B19" s="90" t="str">
        <x:v>Desktop Computer</x:v>
      </x:c>
      <x:c r="C19" s="90" t="str">
        <x:v>Administration</x:v>
      </x:c>
      <x:c r="D19" s="121" t="n">
        <x:v>8</x:v>
      </x:c>
      <x:c r="E19" s="90" t="str">
        <x:v>Unsafe</x:v>
      </x:c>
      <x:c r="F19" s="92" t="n">
        <x:v>11.09</x:v>
      </x:c>
      <x:c r="G19" s="95" t="n">
        <x:v>50100</x:v>
      </x:c>
      <x:c r="H19" s="95" t="n">
        <x:v>52300</x:v>
      </x:c>
      <x:c r="I19" s="90" t="str">
        <x:v>No</x:v>
      </x:c>
      <x:c r="J19" s="90" t="str">
        <x:v>Safe Disposal</x:v>
      </x:c>
      <x:c r="K19" s="97" t="str">
        <x:v>Hazardous, leaking, or unsafe item requiring controlled handling.</x:v>
      </x:c>
      <x:c r="L19" s="122" t="n">
        <x:v>1.66</x:v>
      </x:c>
      <x:c r="M19" s="95" t="n">
        <x:v>0</x:v>
      </x:c>
    </x:row>
    <x:row r="20">
      <x:c r="A20" s="90" t="str">
        <x:v>EWU-EW-016</x:v>
      </x:c>
      <x:c r="B20" s="90" t="str">
        <x:v>Desktop Computer</x:v>
      </x:c>
      <x:c r="C20" s="90" t="str">
        <x:v>Student Services</x:v>
      </x:c>
      <x:c r="D20" s="121" t="n">
        <x:v>5</x:v>
      </x:c>
      <x:c r="E20" s="90" t="str">
        <x:v>Fair</x:v>
      </x:c>
      <x:c r="F20" s="92" t="n">
        <x:v>8.42</x:v>
      </x:c>
      <x:c r="G20" s="95" t="n">
        <x:v>0</x:v>
      </x:c>
      <x:c r="H20" s="95" t="n">
        <x:v>56600</x:v>
      </x:c>
      <x:c r="I20" s="90" t="str">
        <x:v>No</x:v>
      </x:c>
      <x:c r="J20" s="90" t="str">
        <x:v>Reuse</x:v>
      </x:c>
      <x:c r="K20" s="97" t="str">
        <x:v>Functional and suitable for reassignment after inspection.</x:v>
      </x:c>
      <x:c r="L20" s="122" t="n">
        <x:v>25.26</x:v>
      </x:c>
      <x:c r="M20" s="95" t="n">
        <x:v>39620</x:v>
      </x:c>
    </x:row>
    <x:row r="21">
      <x:c r="A21" s="90" t="str">
        <x:v>EWU-EW-017</x:v>
      </x:c>
      <x:c r="B21" s="90" t="str">
        <x:v>Desktop Computer</x:v>
      </x:c>
      <x:c r="C21" s="90" t="str">
        <x:v>IT Services</x:v>
      </x:c>
      <x:c r="D21" s="121" t="n">
        <x:v>6</x:v>
      </x:c>
      <x:c r="E21" s="90" t="str">
        <x:v>Major Fault</x:v>
      </x:c>
      <x:c r="F21" s="92" t="n">
        <x:v>8.15</x:v>
      </x:c>
      <x:c r="G21" s="95" t="n">
        <x:v>44300</x:v>
      </x:c>
      <x:c r="H21" s="95" t="n">
        <x:v>50700</x:v>
      </x:c>
      <x:c r="I21" s="90" t="str">
        <x:v>No</x:v>
      </x:c>
      <x:c r="J21" s="90" t="str">
        <x:v>Recycle</x:v>
      </x:c>
      <x:c r="K21" s="97" t="str">
        <x:v>Not economical to repair; recoverable materials remain.</x:v>
      </x:c>
      <x:c r="L21" s="122" t="n">
        <x:v>8.97</x:v>
      </x:c>
      <x:c r="M21" s="95" t="n">
        <x:v>978</x:v>
      </x:c>
    </x:row>
    <x:row r="22">
      <x:c r="A22" s="90" t="str">
        <x:v>EWU-EW-018</x:v>
      </x:c>
      <x:c r="B22" s="90" t="str">
        <x:v>Desktop Computer</x:v>
      </x:c>
      <x:c r="C22" s="90" t="str">
        <x:v>IT Services</x:v>
      </x:c>
      <x:c r="D22" s="121" t="n">
        <x:v>7</x:v>
      </x:c>
      <x:c r="E22" s="90" t="str">
        <x:v>Obsolete</x:v>
      </x:c>
      <x:c r="F22" s="92" t="n">
        <x:v>10.47</x:v>
      </x:c>
      <x:c r="G22" s="95" t="n">
        <x:v>39700</x:v>
      </x:c>
      <x:c r="H22" s="95" t="n">
        <x:v>62600</x:v>
      </x:c>
      <x:c r="I22" s="90" t="str">
        <x:v>No</x:v>
      </x:c>
      <x:c r="J22" s="90" t="str">
        <x:v>Recycle</x:v>
      </x:c>
      <x:c r="K22" s="97" t="str">
        <x:v>Not economical to repair; recoverable materials remain.</x:v>
      </x:c>
      <x:c r="L22" s="122" t="n">
        <x:v>11.52</x:v>
      </x:c>
      <x:c r="M22" s="95" t="n">
        <x:v>1256</x:v>
      </x:c>
    </x:row>
    <x:row r="23">
      <x:c r="A23" s="90" t="str">
        <x:v>EWU-EW-019</x:v>
      </x:c>
      <x:c r="B23" s="90" t="str">
        <x:v>Laptop</x:v>
      </x:c>
      <x:c r="C23" s="90" t="str">
        <x:v>Library</x:v>
      </x:c>
      <x:c r="D23" s="121" t="n">
        <x:v>2</x:v>
      </x:c>
      <x:c r="E23" s="90" t="str">
        <x:v>Good</x:v>
      </x:c>
      <x:c r="F23" s="92" t="n">
        <x:v>2.45</x:v>
      </x:c>
      <x:c r="G23" s="95" t="n">
        <x:v>0</x:v>
      </x:c>
      <x:c r="H23" s="95" t="n">
        <x:v>64000</x:v>
      </x:c>
      <x:c r="I23" s="90" t="str">
        <x:v>No</x:v>
      </x:c>
      <x:c r="J23" s="90" t="str">
        <x:v>Reuse</x:v>
      </x:c>
      <x:c r="K23" s="97" t="str">
        <x:v>Functional and suitable for reassignment after inspection.</x:v>
      </x:c>
      <x:c r="L23" s="122" t="n">
        <x:v>7.35</x:v>
      </x:c>
      <x:c r="M23" s="95" t="n">
        <x:v>44800</x:v>
      </x:c>
    </x:row>
    <x:row r="24">
      <x:c r="A24" s="90" t="str">
        <x:v>EWU-EW-020</x:v>
      </x:c>
      <x:c r="B24" s="90" t="str">
        <x:v>Laptop</x:v>
      </x:c>
      <x:c r="C24" s="90" t="str">
        <x:v>CSE Laboratory</x:v>
      </x:c>
      <x:c r="D24" s="121" t="n">
        <x:v>3</x:v>
      </x:c>
      <x:c r="E24" s="90" t="str">
        <x:v>Minor Fault</x:v>
      </x:c>
      <x:c r="F24" s="92" t="n">
        <x:v>2.43</x:v>
      </x:c>
      <x:c r="G24" s="95" t="n">
        <x:v>15600</x:v>
      </x:c>
      <x:c r="H24" s="95" t="n">
        <x:v>80000</x:v>
      </x:c>
      <x:c r="I24" s="90" t="str">
        <x:v>No</x:v>
      </x:c>
      <x:c r="J24" s="90" t="str">
        <x:v>Repair</x:v>
      </x:c>
      <x:c r="K24" s="97" t="str">
        <x:v>Repair cost is below the 40% replacement-cost threshold.</x:v>
      </x:c>
      <x:c r="L24" s="122" t="n">
        <x:v>5.35</x:v>
      </x:c>
      <x:c r="M24" s="95" t="n">
        <x:v>64400</x:v>
      </x:c>
    </x:row>
    <x:row r="25">
      <x:c r="A25" s="90" t="str">
        <x:v>EWU-EW-021</x:v>
      </x:c>
      <x:c r="B25" s="90" t="str">
        <x:v>Laptop</x:v>
      </x:c>
      <x:c r="C25" s="90" t="str">
        <x:v>Faculty Offices</x:v>
      </x:c>
      <x:c r="D25" s="121" t="n">
        <x:v>7</x:v>
      </x:c>
      <x:c r="E25" s="90" t="str">
        <x:v>Non-functional</x:v>
      </x:c>
      <x:c r="F25" s="92" t="n">
        <x:v>2.16</x:v>
      </x:c>
      <x:c r="G25" s="95" t="n">
        <x:v>41900</x:v>
      </x:c>
      <x:c r="H25" s="95" t="n">
        <x:v>59200</x:v>
      </x:c>
      <x:c r="I25" s="90" t="str">
        <x:v>No</x:v>
      </x:c>
      <x:c r="J25" s="90" t="str">
        <x:v>Recycle</x:v>
      </x:c>
      <x:c r="K25" s="97" t="str">
        <x:v>Not economical to repair; recoverable materials remain.</x:v>
      </x:c>
      <x:c r="L25" s="122" t="n">
        <x:v>2.38</x:v>
      </x:c>
      <x:c r="M25" s="95" t="n">
        <x:v>259</x:v>
      </x:c>
    </x:row>
    <x:row r="26">
      <x:c r="A26" s="90" t="str">
        <x:v>EWU-EW-022</x:v>
      </x:c>
      <x:c r="B26" s="90" t="str">
        <x:v>Laptop</x:v>
      </x:c>
      <x:c r="C26" s="90" t="str">
        <x:v>Student Services</x:v>
      </x:c>
      <x:c r="D26" s="121" t="n">
        <x:v>9</x:v>
      </x:c>
      <x:c r="E26" s="90" t="str">
        <x:v>Major Fault</x:v>
      </x:c>
      <x:c r="F26" s="92" t="n">
        <x:v>1.85</x:v>
      </x:c>
      <x:c r="G26" s="95" t="n">
        <x:v>47400</x:v>
      </x:c>
      <x:c r="H26" s="95" t="n">
        <x:v>69900</x:v>
      </x:c>
      <x:c r="I26" s="90" t="str">
        <x:v>No</x:v>
      </x:c>
      <x:c r="J26" s="90" t="str">
        <x:v>Recycle</x:v>
      </x:c>
      <x:c r="K26" s="97" t="str">
        <x:v>Not economical to repair; recoverable materials remain.</x:v>
      </x:c>
      <x:c r="L26" s="122" t="n">
        <x:v>2.04</x:v>
      </x:c>
      <x:c r="M26" s="95" t="n">
        <x:v>222</x:v>
      </x:c>
    </x:row>
    <x:row r="27">
      <x:c r="A27" s="90" t="str">
        <x:v>EWU-EW-023</x:v>
      </x:c>
      <x:c r="B27" s="90" t="str">
        <x:v>Laptop</x:v>
      </x:c>
      <x:c r="C27" s="90" t="str">
        <x:v>IT Services</x:v>
      </x:c>
      <x:c r="D27" s="121" t="n">
        <x:v>2</x:v>
      </x:c>
      <x:c r="E27" s="90" t="str">
        <x:v>Fair</x:v>
      </x:c>
      <x:c r="F27" s="92" t="n">
        <x:v>1.84</x:v>
      </x:c>
      <x:c r="G27" s="95" t="n">
        <x:v>0</x:v>
      </x:c>
      <x:c r="H27" s="95" t="n">
        <x:v>65700</x:v>
      </x:c>
      <x:c r="I27" s="90" t="str">
        <x:v>No</x:v>
      </x:c>
      <x:c r="J27" s="90" t="str">
        <x:v>Reuse</x:v>
      </x:c>
      <x:c r="K27" s="97" t="str">
        <x:v>Functional and suitable for reassignment after inspection.</x:v>
      </x:c>
      <x:c r="L27" s="122" t="n">
        <x:v>5.52</x:v>
      </x:c>
      <x:c r="M27" s="95" t="n">
        <x:v>45990</x:v>
      </x:c>
    </x:row>
    <x:row r="28">
      <x:c r="A28" s="90" t="str">
        <x:v>EWU-EW-024</x:v>
      </x:c>
      <x:c r="B28" s="90" t="str">
        <x:v>Laptop</x:v>
      </x:c>
      <x:c r="C28" s="90" t="str">
        <x:v>CSE Laboratory</x:v>
      </x:c>
      <x:c r="D28" s="121" t="n">
        <x:v>7</x:v>
      </x:c>
      <x:c r="E28" s="90" t="str">
        <x:v>Minor Fault</x:v>
      </x:c>
      <x:c r="F28" s="92" t="n">
        <x:v>2.16</x:v>
      </x:c>
      <x:c r="G28" s="95" t="n">
        <x:v>14200</x:v>
      </x:c>
      <x:c r="H28" s="95" t="n">
        <x:v>74900</x:v>
      </x:c>
      <x:c r="I28" s="90" t="str">
        <x:v>No</x:v>
      </x:c>
      <x:c r="J28" s="90" t="str">
        <x:v>Repair</x:v>
      </x:c>
      <x:c r="K28" s="97" t="str">
        <x:v>Repair cost is below the 40% replacement-cost threshold.</x:v>
      </x:c>
      <x:c r="L28" s="122" t="n">
        <x:v>4.75</x:v>
      </x:c>
      <x:c r="M28" s="95" t="n">
        <x:v>60700</x:v>
      </x:c>
    </x:row>
    <x:row r="29">
      <x:c r="A29" s="90" t="str">
        <x:v>EWU-EW-025</x:v>
      </x:c>
      <x:c r="B29" s="90" t="str">
        <x:v>Laptop</x:v>
      </x:c>
      <x:c r="C29" s="90" t="str">
        <x:v>CSE Laboratory</x:v>
      </x:c>
      <x:c r="D29" s="121" t="n">
        <x:v>10</x:v>
      </x:c>
      <x:c r="E29" s="90" t="str">
        <x:v>Non-functional</x:v>
      </x:c>
      <x:c r="F29" s="92" t="n">
        <x:v>1.95</x:v>
      </x:c>
      <x:c r="G29" s="95" t="n">
        <x:v>42200</x:v>
      </x:c>
      <x:c r="H29" s="95" t="n">
        <x:v>75500</x:v>
      </x:c>
      <x:c r="I29" s="90" t="str">
        <x:v>No</x:v>
      </x:c>
      <x:c r="J29" s="90" t="str">
        <x:v>Recycle</x:v>
      </x:c>
      <x:c r="K29" s="97" t="str">
        <x:v>Not economical to repair; recoverable materials remain.</x:v>
      </x:c>
      <x:c r="L29" s="122" t="n">
        <x:v>2.14</x:v>
      </x:c>
      <x:c r="M29" s="95" t="n">
        <x:v>234</x:v>
      </x:c>
    </x:row>
    <x:row r="30">
      <x:c r="A30" s="90" t="str">
        <x:v>EWU-EW-026</x:v>
      </x:c>
      <x:c r="B30" s="90" t="str">
        <x:v>Laptop</x:v>
      </x:c>
      <x:c r="C30" s="90" t="str">
        <x:v>Administration</x:v>
      </x:c>
      <x:c r="D30" s="121" t="n">
        <x:v>5</x:v>
      </x:c>
      <x:c r="E30" s="90" t="str">
        <x:v>Good</x:v>
      </x:c>
      <x:c r="F30" s="92" t="n">
        <x:v>2.36</x:v>
      </x:c>
      <x:c r="G30" s="95" t="n">
        <x:v>0</x:v>
      </x:c>
      <x:c r="H30" s="95" t="n">
        <x:v>68000</x:v>
      </x:c>
      <x:c r="I30" s="90" t="str">
        <x:v>No</x:v>
      </x:c>
      <x:c r="J30" s="90" t="str">
        <x:v>Reuse</x:v>
      </x:c>
      <x:c r="K30" s="97" t="str">
        <x:v>Functional and suitable for reassignment after inspection.</x:v>
      </x:c>
      <x:c r="L30" s="122" t="n">
        <x:v>7.08</x:v>
      </x:c>
      <x:c r="M30" s="95" t="n">
        <x:v>47600</x:v>
      </x:c>
    </x:row>
    <x:row r="31">
      <x:c r="A31" s="90" t="str">
        <x:v>EWU-EW-027</x:v>
      </x:c>
      <x:c r="B31" s="90" t="str">
        <x:v>Laptop</x:v>
      </x:c>
      <x:c r="C31" s="90" t="str">
        <x:v>Student Services</x:v>
      </x:c>
      <x:c r="D31" s="121" t="n">
        <x:v>7</x:v>
      </x:c>
      <x:c r="E31" s="90" t="str">
        <x:v>Fair</x:v>
      </x:c>
      <x:c r="F31" s="92" t="n">
        <x:v>2.08</x:v>
      </x:c>
      <x:c r="G31" s="95" t="n">
        <x:v>14700</x:v>
      </x:c>
      <x:c r="H31" s="95" t="n">
        <x:v>74400</x:v>
      </x:c>
      <x:c r="I31" s="90" t="str">
        <x:v>No</x:v>
      </x:c>
      <x:c r="J31" s="90" t="str">
        <x:v>Repair</x:v>
      </x:c>
      <x:c r="K31" s="97" t="str">
        <x:v>Repair cost is below the 40% replacement-cost threshold.</x:v>
      </x:c>
      <x:c r="L31" s="122" t="n">
        <x:v>4.58</x:v>
      </x:c>
      <x:c r="M31" s="95" t="n">
        <x:v>59700</x:v>
      </x:c>
    </x:row>
    <x:row r="32">
      <x:c r="A32" s="90" t="str">
        <x:v>EWU-EW-028</x:v>
      </x:c>
      <x:c r="B32" s="90" t="str">
        <x:v>Laptop</x:v>
      </x:c>
      <x:c r="C32" s="90" t="str">
        <x:v>IT Services</x:v>
      </x:c>
      <x:c r="D32" s="121" t="n">
        <x:v>5</x:v>
      </x:c>
      <x:c r="E32" s="90" t="str">
        <x:v>Damaged/Hazardous</x:v>
      </x:c>
      <x:c r="F32" s="92" t="n">
        <x:v>2.49</x:v>
      </x:c>
      <x:c r="G32" s="95" t="n">
        <x:v>66700</x:v>
      </x:c>
      <x:c r="H32" s="95" t="n">
        <x:v>68100</x:v>
      </x:c>
      <x:c r="I32" s="90" t="str">
        <x:v>No</x:v>
      </x:c>
      <x:c r="J32" s="90" t="str">
        <x:v>Safe Disposal</x:v>
      </x:c>
      <x:c r="K32" s="97" t="str">
        <x:v>Hazardous, leaking, or unsafe item requiring controlled handling.</x:v>
      </x:c>
      <x:c r="L32" s="122" t="n">
        <x:v>0.37</x:v>
      </x:c>
      <x:c r="M32" s="95" t="n">
        <x:v>0</x:v>
      </x:c>
    </x:row>
    <x:row r="33">
      <x:c r="A33" s="90" t="str">
        <x:v>EWU-EW-029</x:v>
      </x:c>
      <x:c r="B33" s="90" t="str">
        <x:v>Laptop</x:v>
      </x:c>
      <x:c r="C33" s="90" t="str">
        <x:v>CSE Laboratory</x:v>
      </x:c>
      <x:c r="D33" s="121" t="n">
        <x:v>5</x:v>
      </x:c>
      <x:c r="E33" s="90" t="str">
        <x:v>Good</x:v>
      </x:c>
      <x:c r="F33" s="92" t="n">
        <x:v>1.93</x:v>
      </x:c>
      <x:c r="G33" s="95" t="n">
        <x:v>0</x:v>
      </x:c>
      <x:c r="H33" s="95" t="n">
        <x:v>63400</x:v>
      </x:c>
      <x:c r="I33" s="90" t="str">
        <x:v>No</x:v>
      </x:c>
      <x:c r="J33" s="90" t="str">
        <x:v>Reuse</x:v>
      </x:c>
      <x:c r="K33" s="97" t="str">
        <x:v>Functional and suitable for reassignment after inspection.</x:v>
      </x:c>
      <x:c r="L33" s="122" t="n">
        <x:v>5.79</x:v>
      </x:c>
      <x:c r="M33" s="95" t="n">
        <x:v>44380</x:v>
      </x:c>
    </x:row>
    <x:row r="34">
      <x:c r="A34" s="90" t="str">
        <x:v>EWU-EW-030</x:v>
      </x:c>
      <x:c r="B34" s="90" t="str">
        <x:v>Laptop</x:v>
      </x:c>
      <x:c r="C34" s="90" t="str">
        <x:v>Administration</x:v>
      </x:c>
      <x:c r="D34" s="121" t="n">
        <x:v>7</x:v>
      </x:c>
      <x:c r="E34" s="90" t="str">
        <x:v>Major Fault</x:v>
      </x:c>
      <x:c r="F34" s="92" t="n">
        <x:v>1.79</x:v>
      </x:c>
      <x:c r="G34" s="95" t="n">
        <x:v>51300</x:v>
      </x:c>
      <x:c r="H34" s="95" t="n">
        <x:v>67100</x:v>
      </x:c>
      <x:c r="I34" s="90" t="str">
        <x:v>No</x:v>
      </x:c>
      <x:c r="J34" s="90" t="str">
        <x:v>Recycle</x:v>
      </x:c>
      <x:c r="K34" s="97" t="str">
        <x:v>Not economical to repair; recoverable materials remain.</x:v>
      </x:c>
      <x:c r="L34" s="122" t="n">
        <x:v>1.97</x:v>
      </x:c>
      <x:c r="M34" s="95" t="n">
        <x:v>214</x:v>
      </x:c>
    </x:row>
    <x:row r="35">
      <x:c r="A35" s="90" t="str">
        <x:v>EWU-EW-031</x:v>
      </x:c>
      <x:c r="B35" s="90" t="str">
        <x:v>Laptop</x:v>
      </x:c>
      <x:c r="C35" s="90" t="str">
        <x:v>Library</x:v>
      </x:c>
      <x:c r="D35" s="121" t="n">
        <x:v>4</x:v>
      </x:c>
      <x:c r="E35" s="90" t="str">
        <x:v>Good</x:v>
      </x:c>
      <x:c r="F35" s="92" t="n">
        <x:v>2.05</x:v>
      </x:c>
      <x:c r="G35" s="95" t="n">
        <x:v>0</x:v>
      </x:c>
      <x:c r="H35" s="95" t="n">
        <x:v>69300</x:v>
      </x:c>
      <x:c r="I35" s="90" t="str">
        <x:v>No</x:v>
      </x:c>
      <x:c r="J35" s="90" t="str">
        <x:v>Reuse</x:v>
      </x:c>
      <x:c r="K35" s="97" t="str">
        <x:v>Functional and suitable for reassignment after inspection.</x:v>
      </x:c>
      <x:c r="L35" s="122" t="n">
        <x:v>6.15</x:v>
      </x:c>
      <x:c r="M35" s="95" t="n">
        <x:v>48510</x:v>
      </x:c>
    </x:row>
    <x:row r="36">
      <x:c r="A36" s="90" t="str">
        <x:v>EWU-EW-032</x:v>
      </x:c>
      <x:c r="B36" s="90" t="str">
        <x:v>Laptop</x:v>
      </x:c>
      <x:c r="C36" s="90" t="str">
        <x:v>EEE Laboratory</x:v>
      </x:c>
      <x:c r="D36" s="121" t="n">
        <x:v>6</x:v>
      </x:c>
      <x:c r="E36" s="90" t="str">
        <x:v>Minor Fault</x:v>
      </x:c>
      <x:c r="F36" s="92" t="n">
        <x:v>2.7</x:v>
      </x:c>
      <x:c r="G36" s="95" t="n">
        <x:v>12300</x:v>
      </x:c>
      <x:c r="H36" s="95" t="n">
        <x:v>66200</x:v>
      </x:c>
      <x:c r="I36" s="90" t="str">
        <x:v>No</x:v>
      </x:c>
      <x:c r="J36" s="90" t="str">
        <x:v>Repair</x:v>
      </x:c>
      <x:c r="K36" s="97" t="str">
        <x:v>Repair cost is below the 40% replacement-cost threshold.</x:v>
      </x:c>
      <x:c r="L36" s="122" t="n">
        <x:v>5.94</x:v>
      </x:c>
      <x:c r="M36" s="95" t="n">
        <x:v>53900</x:v>
      </x:c>
    </x:row>
    <x:row r="37">
      <x:c r="A37" s="90" t="str">
        <x:v>EWU-EW-033</x:v>
      </x:c>
      <x:c r="B37" s="90" t="str">
        <x:v>Laptop</x:v>
      </x:c>
      <x:c r="C37" s="90" t="str">
        <x:v>Student Services</x:v>
      </x:c>
      <x:c r="D37" s="121" t="n">
        <x:v>11</x:v>
      </x:c>
      <x:c r="E37" s="90" t="str">
        <x:v>Non-functional</x:v>
      </x:c>
      <x:c r="F37" s="92" t="n">
        <x:v>2.09</x:v>
      </x:c>
      <x:c r="G37" s="95" t="n">
        <x:v>41300</x:v>
      </x:c>
      <x:c r="H37" s="95" t="n">
        <x:v>73300</x:v>
      </x:c>
      <x:c r="I37" s="90" t="str">
        <x:v>No</x:v>
      </x:c>
      <x:c r="J37" s="90" t="str">
        <x:v>Recycle</x:v>
      </x:c>
      <x:c r="K37" s="97" t="str">
        <x:v>Not economical to repair; recoverable materials remain.</x:v>
      </x:c>
      <x:c r="L37" s="122" t="n">
        <x:v>2.3</x:v>
      </x:c>
      <x:c r="M37" s="95" t="n">
        <x:v>250</x:v>
      </x:c>
    </x:row>
    <x:row r="38">
      <x:c r="A38" s="90" t="str">
        <x:v>EWU-EW-034</x:v>
      </x:c>
      <x:c r="B38" s="90" t="str">
        <x:v>Monitor</x:v>
      </x:c>
      <x:c r="C38" s="90" t="str">
        <x:v>Student Services</x:v>
      </x:c>
      <x:c r="D38" s="121" t="n">
        <x:v>6</x:v>
      </x:c>
      <x:c r="E38" s="90" t="str">
        <x:v>Minor Fault</x:v>
      </x:c>
      <x:c r="F38" s="92" t="n">
        <x:v>5.14</x:v>
      </x:c>
      <x:c r="G38" s="95" t="n">
        <x:v>6000</x:v>
      </x:c>
      <x:c r="H38" s="95" t="n">
        <x:v>19100</x:v>
      </x:c>
      <x:c r="I38" s="90" t="str">
        <x:v>No</x:v>
      </x:c>
      <x:c r="J38" s="90" t="str">
        <x:v>Repair</x:v>
      </x:c>
      <x:c r="K38" s="97" t="str">
        <x:v>Repair cost is below the 40% replacement-cost threshold.</x:v>
      </x:c>
      <x:c r="L38" s="122" t="n">
        <x:v>11.31</x:v>
      </x:c>
      <x:c r="M38" s="95" t="n">
        <x:v>13100</x:v>
      </x:c>
    </x:row>
    <x:row r="39">
      <x:c r="A39" s="90" t="str">
        <x:v>EWU-EW-035</x:v>
      </x:c>
      <x:c r="B39" s="90" t="str">
        <x:v>Monitor</x:v>
      </x:c>
      <x:c r="C39" s="90" t="str">
        <x:v>EEE Laboratory</x:v>
      </x:c>
      <x:c r="D39" s="121" t="n">
        <x:v>11</x:v>
      </x:c>
      <x:c r="E39" s="90" t="str">
        <x:v>Leaking</x:v>
      </x:c>
      <x:c r="F39" s="92" t="n">
        <x:v>4.99</x:v>
      </x:c>
      <x:c r="G39" s="95" t="n">
        <x:v>13800</x:v>
      </x:c>
      <x:c r="H39" s="95" t="n">
        <x:v>18600</x:v>
      </x:c>
      <x:c r="I39" s="90" t="str">
        <x:v>Yes</x:v>
      </x:c>
      <x:c r="J39" s="90" t="str">
        <x:v>Safe Disposal</x:v>
      </x:c>
      <x:c r="K39" s="97" t="str">
        <x:v>Hazardous, leaking, or unsafe item requiring controlled handling.</x:v>
      </x:c>
      <x:c r="L39" s="122" t="n">
        <x:v>0.75</x:v>
      </x:c>
      <x:c r="M39" s="95" t="n">
        <x:v>0</x:v>
      </x:c>
    </x:row>
    <x:row r="40">
      <x:c r="A40" s="90" t="str">
        <x:v>EWU-EW-036</x:v>
      </x:c>
      <x:c r="B40" s="90" t="str">
        <x:v>Monitor</x:v>
      </x:c>
      <x:c r="C40" s="90" t="str">
        <x:v>Student Services</x:v>
      </x:c>
      <x:c r="D40" s="121" t="n">
        <x:v>3</x:v>
      </x:c>
      <x:c r="E40" s="90" t="str">
        <x:v>Good</x:v>
      </x:c>
      <x:c r="F40" s="92" t="n">
        <x:v>5.21</x:v>
      </x:c>
      <x:c r="G40" s="95" t="n">
        <x:v>0</x:v>
      </x:c>
      <x:c r="H40" s="95" t="n">
        <x:v>15600</x:v>
      </x:c>
      <x:c r="I40" s="90" t="str">
        <x:v>No</x:v>
      </x:c>
      <x:c r="J40" s="90" t="str">
        <x:v>Reuse</x:v>
      </x:c>
      <x:c r="K40" s="97" t="str">
        <x:v>Functional and suitable for reassignment after inspection.</x:v>
      </x:c>
      <x:c r="L40" s="122" t="n">
        <x:v>15.63</x:v>
      </x:c>
      <x:c r="M40" s="95" t="n">
        <x:v>10920</x:v>
      </x:c>
    </x:row>
    <x:row r="41">
      <x:c r="A41" s="90" t="str">
        <x:v>EWU-EW-037</x:v>
      </x:c>
      <x:c r="B41" s="90" t="str">
        <x:v>Monitor</x:v>
      </x:c>
      <x:c r="C41" s="90" t="str">
        <x:v>EEE Laboratory</x:v>
      </x:c>
      <x:c r="D41" s="121" t="n">
        <x:v>10</x:v>
      </x:c>
      <x:c r="E41" s="90" t="str">
        <x:v>Obsolete</x:v>
      </x:c>
      <x:c r="F41" s="92" t="n">
        <x:v>5.83</x:v>
      </x:c>
      <x:c r="G41" s="95" t="n">
        <x:v>13300</x:v>
      </x:c>
      <x:c r="H41" s="95" t="n">
        <x:v>19200</x:v>
      </x:c>
      <x:c r="I41" s="90" t="str">
        <x:v>Yes</x:v>
      </x:c>
      <x:c r="J41" s="90" t="str">
        <x:v>Recycle</x:v>
      </x:c>
      <x:c r="K41" s="97" t="str">
        <x:v>Not economical to repair; recoverable materials remain.</x:v>
      </x:c>
      <x:c r="L41" s="122" t="n">
        <x:v>6.41</x:v>
      </x:c>
      <x:c r="M41" s="95" t="n">
        <x:v>699</x:v>
      </x:c>
    </x:row>
    <x:row r="42">
      <x:c r="A42" s="90" t="str">
        <x:v>EWU-EW-038</x:v>
      </x:c>
      <x:c r="B42" s="90" t="str">
        <x:v>Monitor</x:v>
      </x:c>
      <x:c r="C42" s="90" t="str">
        <x:v>Faculty Offices</x:v>
      </x:c>
      <x:c r="D42" s="121" t="n">
        <x:v>11</x:v>
      </x:c>
      <x:c r="E42" s="90" t="str">
        <x:v>Obsolete</x:v>
      </x:c>
      <x:c r="F42" s="92" t="n">
        <x:v>6.12</x:v>
      </x:c>
      <x:c r="G42" s="95" t="n">
        <x:v>12800</x:v>
      </x:c>
      <x:c r="H42" s="95" t="n">
        <x:v>19800</x:v>
      </x:c>
      <x:c r="I42" s="90" t="str">
        <x:v>Yes</x:v>
      </x:c>
      <x:c r="J42" s="90" t="str">
        <x:v>Recycle</x:v>
      </x:c>
      <x:c r="K42" s="97" t="str">
        <x:v>Not economical to repair; recoverable materials remain.</x:v>
      </x:c>
      <x:c r="L42" s="122" t="n">
        <x:v>6.73</x:v>
      </x:c>
      <x:c r="M42" s="95" t="n">
        <x:v>734</x:v>
      </x:c>
    </x:row>
    <x:row r="43">
      <x:c r="A43" s="90" t="str">
        <x:v>EWU-EW-039</x:v>
      </x:c>
      <x:c r="B43" s="90" t="str">
        <x:v>Monitor</x:v>
      </x:c>
      <x:c r="C43" s="90" t="str">
        <x:v>Faculty Offices</x:v>
      </x:c>
      <x:c r="D43" s="121" t="n">
        <x:v>7</x:v>
      </x:c>
      <x:c r="E43" s="90" t="str">
        <x:v>Minor Fault</x:v>
      </x:c>
      <x:c r="F43" s="92" t="n">
        <x:v>4.5</x:v>
      </x:c>
      <x:c r="G43" s="95" t="n">
        <x:v>3300</x:v>
      </x:c>
      <x:c r="H43" s="95" t="n">
        <x:v>17300</x:v>
      </x:c>
      <x:c r="I43" s="90" t="str">
        <x:v>No</x:v>
      </x:c>
      <x:c r="J43" s="90" t="str">
        <x:v>Repair</x:v>
      </x:c>
      <x:c r="K43" s="97" t="str">
        <x:v>Repair cost is below the 40% replacement-cost threshold.</x:v>
      </x:c>
      <x:c r="L43" s="122" t="n">
        <x:v>9.9</x:v>
      </x:c>
      <x:c r="M43" s="95" t="n">
        <x:v>14000</x:v>
      </x:c>
    </x:row>
    <x:row r="44">
      <x:c r="A44" s="90" t="str">
        <x:v>EWU-EW-040</x:v>
      </x:c>
      <x:c r="B44" s="90" t="str">
        <x:v>Monitor</x:v>
      </x:c>
      <x:c r="C44" s="90" t="str">
        <x:v>Administration</x:v>
      </x:c>
      <x:c r="D44" s="121" t="n">
        <x:v>2</x:v>
      </x:c>
      <x:c r="E44" s="90" t="str">
        <x:v>Good</x:v>
      </x:c>
      <x:c r="F44" s="92" t="n">
        <x:v>5.79</x:v>
      </x:c>
      <x:c r="G44" s="95" t="n">
        <x:v>0</x:v>
      </x:c>
      <x:c r="H44" s="95" t="n">
        <x:v>19100</x:v>
      </x:c>
      <x:c r="I44" s="90" t="str">
        <x:v>No</x:v>
      </x:c>
      <x:c r="J44" s="90" t="str">
        <x:v>Reuse</x:v>
      </x:c>
      <x:c r="K44" s="97" t="str">
        <x:v>Functional and suitable for reassignment after inspection.</x:v>
      </x:c>
      <x:c r="L44" s="122" t="n">
        <x:v>17.37</x:v>
      </x:c>
      <x:c r="M44" s="95" t="n">
        <x:v>13370</x:v>
      </x:c>
    </x:row>
    <x:row r="45">
      <x:c r="A45" s="90" t="str">
        <x:v>EWU-EW-041</x:v>
      </x:c>
      <x:c r="B45" s="90" t="str">
        <x:v>Monitor</x:v>
      </x:c>
      <x:c r="C45" s="90" t="str">
        <x:v>EEE Laboratory</x:v>
      </x:c>
      <x:c r="D45" s="121" t="n">
        <x:v>7</x:v>
      </x:c>
      <x:c r="E45" s="90" t="str">
        <x:v>Minor Fault</x:v>
      </x:c>
      <x:c r="F45" s="92" t="n">
        <x:v>5.33</x:v>
      </x:c>
      <x:c r="G45" s="95" t="n">
        <x:v>3200</x:v>
      </x:c>
      <x:c r="H45" s="95" t="n">
        <x:v>16200</x:v>
      </x:c>
      <x:c r="I45" s="90" t="str">
        <x:v>No</x:v>
      </x:c>
      <x:c r="J45" s="90" t="str">
        <x:v>Repair</x:v>
      </x:c>
      <x:c r="K45" s="97" t="str">
        <x:v>Repair cost is below the 40% replacement-cost threshold.</x:v>
      </x:c>
      <x:c r="L45" s="122" t="n">
        <x:v>11.73</x:v>
      </x:c>
      <x:c r="M45" s="95" t="n">
        <x:v>13000</x:v>
      </x:c>
    </x:row>
    <x:row r="46">
      <x:c r="A46" s="90" t="str">
        <x:v>EWU-EW-042</x:v>
      </x:c>
      <x:c r="B46" s="90" t="str">
        <x:v>Monitor</x:v>
      </x:c>
      <x:c r="C46" s="90" t="str">
        <x:v>CSE Laboratory</x:v>
      </x:c>
      <x:c r="D46" s="121" t="n">
        <x:v>6</x:v>
      </x:c>
      <x:c r="E46" s="90" t="str">
        <x:v>Minor Fault</x:v>
      </x:c>
      <x:c r="F46" s="92" t="n">
        <x:v>6.45</x:v>
      </x:c>
      <x:c r="G46" s="95" t="n">
        <x:v>3500</x:v>
      </x:c>
      <x:c r="H46" s="95" t="n">
        <x:v>15900</x:v>
      </x:c>
      <x:c r="I46" s="90" t="str">
        <x:v>No</x:v>
      </x:c>
      <x:c r="J46" s="90" t="str">
        <x:v>Repair</x:v>
      </x:c>
      <x:c r="K46" s="97" t="str">
        <x:v>Repair cost is below the 40% replacement-cost threshold.</x:v>
      </x:c>
      <x:c r="L46" s="122" t="n">
        <x:v>14.19</x:v>
      </x:c>
      <x:c r="M46" s="95" t="n">
        <x:v>12400</x:v>
      </x:c>
    </x:row>
    <x:row r="47">
      <x:c r="A47" s="90" t="str">
        <x:v>EWU-EW-043</x:v>
      </x:c>
      <x:c r="B47" s="90" t="str">
        <x:v>Monitor</x:v>
      </x:c>
      <x:c r="C47" s="90" t="str">
        <x:v>Library</x:v>
      </x:c>
      <x:c r="D47" s="121" t="n">
        <x:v>2</x:v>
      </x:c>
      <x:c r="E47" s="90" t="str">
        <x:v>Good</x:v>
      </x:c>
      <x:c r="F47" s="92" t="n">
        <x:v>5.55</x:v>
      </x:c>
      <x:c r="G47" s="95" t="n">
        <x:v>0</x:v>
      </x:c>
      <x:c r="H47" s="95" t="n">
        <x:v>17400</x:v>
      </x:c>
      <x:c r="I47" s="90" t="str">
        <x:v>No</x:v>
      </x:c>
      <x:c r="J47" s="90" t="str">
        <x:v>Reuse</x:v>
      </x:c>
      <x:c r="K47" s="97" t="str">
        <x:v>Functional and suitable for reassignment after inspection.</x:v>
      </x:c>
      <x:c r="L47" s="122" t="n">
        <x:v>16.65</x:v>
      </x:c>
      <x:c r="M47" s="95" t="n">
        <x:v>12180</x:v>
      </x:c>
    </x:row>
    <x:row r="48">
      <x:c r="A48" s="90" t="str">
        <x:v>EWU-EW-044</x:v>
      </x:c>
      <x:c r="B48" s="90" t="str">
        <x:v>Monitor</x:v>
      </x:c>
      <x:c r="C48" s="90" t="str">
        <x:v>CSE Laboratory</x:v>
      </x:c>
      <x:c r="D48" s="121" t="n">
        <x:v>5</x:v>
      </x:c>
      <x:c r="E48" s="90" t="str">
        <x:v>Leaking</x:v>
      </x:c>
      <x:c r="F48" s="92" t="n">
        <x:v>5.82</x:v>
      </x:c>
      <x:c r="G48" s="95" t="n">
        <x:v>16600</x:v>
      </x:c>
      <x:c r="H48" s="95" t="n">
        <x:v>18700</x:v>
      </x:c>
      <x:c r="I48" s="90" t="str">
        <x:v>Yes</x:v>
      </x:c>
      <x:c r="J48" s="90" t="str">
        <x:v>Safe Disposal</x:v>
      </x:c>
      <x:c r="K48" s="97" t="str">
        <x:v>Hazardous, leaking, or unsafe item requiring controlled handling.</x:v>
      </x:c>
      <x:c r="L48" s="122" t="n">
        <x:v>0.87</x:v>
      </x:c>
      <x:c r="M48" s="95" t="n">
        <x:v>0</x:v>
      </x:c>
    </x:row>
    <x:row r="49">
      <x:c r="A49" s="90" t="str">
        <x:v>EWU-EW-045</x:v>
      </x:c>
      <x:c r="B49" s="90" t="str">
        <x:v>Monitor</x:v>
      </x:c>
      <x:c r="C49" s="90" t="str">
        <x:v>IT Services</x:v>
      </x:c>
      <x:c r="D49" s="121" t="n">
        <x:v>5</x:v>
      </x:c>
      <x:c r="E49" s="90" t="str">
        <x:v>Good</x:v>
      </x:c>
      <x:c r="F49" s="92" t="n">
        <x:v>4.92</x:v>
      </x:c>
      <x:c r="G49" s="95" t="n">
        <x:v>0</x:v>
      </x:c>
      <x:c r="H49" s="95" t="n">
        <x:v>17000</x:v>
      </x:c>
      <x:c r="I49" s="90" t="str">
        <x:v>No</x:v>
      </x:c>
      <x:c r="J49" s="90" t="str">
        <x:v>Reuse</x:v>
      </x:c>
      <x:c r="K49" s="97" t="str">
        <x:v>Functional and suitable for reassignment after inspection.</x:v>
      </x:c>
      <x:c r="L49" s="122" t="n">
        <x:v>14.76</x:v>
      </x:c>
      <x:c r="M49" s="95" t="n">
        <x:v>11900</x:v>
      </x:c>
    </x:row>
    <x:row r="50">
      <x:c r="A50" s="90" t="str">
        <x:v>EWU-EW-046</x:v>
      </x:c>
      <x:c r="B50" s="90" t="str">
        <x:v>Monitor</x:v>
      </x:c>
      <x:c r="C50" s="90" t="str">
        <x:v>Faculty Offices</x:v>
      </x:c>
      <x:c r="D50" s="121" t="n">
        <x:v>2</x:v>
      </x:c>
      <x:c r="E50" s="90" t="str">
        <x:v>Good</x:v>
      </x:c>
      <x:c r="F50" s="92" t="n">
        <x:v>6.31</x:v>
      </x:c>
      <x:c r="G50" s="95" t="n">
        <x:v>0</x:v>
      </x:c>
      <x:c r="H50" s="95" t="n">
        <x:v>16100</x:v>
      </x:c>
      <x:c r="I50" s="90" t="str">
        <x:v>No</x:v>
      </x:c>
      <x:c r="J50" s="90" t="str">
        <x:v>Reuse</x:v>
      </x:c>
      <x:c r="K50" s="97" t="str">
        <x:v>Functional and suitable for reassignment after inspection.</x:v>
      </x:c>
      <x:c r="L50" s="122" t="n">
        <x:v>18.93</x:v>
      </x:c>
      <x:c r="M50" s="95" t="n">
        <x:v>11270</x:v>
      </x:c>
    </x:row>
    <x:row r="51">
      <x:c r="A51" s="90" t="str">
        <x:v>EWU-EW-047</x:v>
      </x:c>
      <x:c r="B51" s="90" t="str">
        <x:v>Monitor</x:v>
      </x:c>
      <x:c r="C51" s="90" t="str">
        <x:v>EEE Laboratory</x:v>
      </x:c>
      <x:c r="D51" s="121" t="n">
        <x:v>11</x:v>
      </x:c>
      <x:c r="E51" s="90" t="str">
        <x:v>Obsolete</x:v>
      </x:c>
      <x:c r="F51" s="92" t="n">
        <x:v>5.48</x:v>
      </x:c>
      <x:c r="G51" s="95" t="n">
        <x:v>12300</x:v>
      </x:c>
      <x:c r="H51" s="95" t="n">
        <x:v>15500</x:v>
      </x:c>
      <x:c r="I51" s="90" t="str">
        <x:v>Yes</x:v>
      </x:c>
      <x:c r="J51" s="90" t="str">
        <x:v>Recycle</x:v>
      </x:c>
      <x:c r="K51" s="97" t="str">
        <x:v>Not economical to repair; recoverable materials remain.</x:v>
      </x:c>
      <x:c r="L51" s="122" t="n">
        <x:v>6.03</x:v>
      </x:c>
      <x:c r="M51" s="95" t="n">
        <x:v>657</x:v>
      </x:c>
    </x:row>
    <x:row r="52">
      <x:c r="A52" s="90" t="str">
        <x:v>EWU-EW-048</x:v>
      </x:c>
      <x:c r="B52" s="90" t="str">
        <x:v>Monitor</x:v>
      </x:c>
      <x:c r="C52" s="90" t="str">
        <x:v>EEE Laboratory</x:v>
      </x:c>
      <x:c r="D52" s="121" t="n">
        <x:v>4</x:v>
      </x:c>
      <x:c r="E52" s="90" t="str">
        <x:v>Good</x:v>
      </x:c>
      <x:c r="F52" s="92" t="n">
        <x:v>5.08</x:v>
      </x:c>
      <x:c r="G52" s="95" t="n">
        <x:v>0</x:v>
      </x:c>
      <x:c r="H52" s="95" t="n">
        <x:v>19300</x:v>
      </x:c>
      <x:c r="I52" s="90" t="str">
        <x:v>No</x:v>
      </x:c>
      <x:c r="J52" s="90" t="str">
        <x:v>Reuse</x:v>
      </x:c>
      <x:c r="K52" s="97" t="str">
        <x:v>Functional and suitable for reassignment after inspection.</x:v>
      </x:c>
      <x:c r="L52" s="122" t="n">
        <x:v>15.24</x:v>
      </x:c>
      <x:c r="M52" s="95" t="n">
        <x:v>13510</x:v>
      </x:c>
    </x:row>
    <x:row r="53">
      <x:c r="A53" s="90" t="str">
        <x:v>EWU-EW-049</x:v>
      </x:c>
      <x:c r="B53" s="90" t="str">
        <x:v>Monitor</x:v>
      </x:c>
      <x:c r="C53" s="90" t="str">
        <x:v>Student Services</x:v>
      </x:c>
      <x:c r="D53" s="121" t="n">
        <x:v>6</x:v>
      </x:c>
      <x:c r="E53" s="90" t="str">
        <x:v>Major Fault</x:v>
      </x:c>
      <x:c r="F53" s="92" t="n">
        <x:v>4.32</x:v>
      </x:c>
      <x:c r="G53" s="95" t="n">
        <x:v>13300</x:v>
      </x:c>
      <x:c r="H53" s="95" t="n">
        <x:v>16200</x:v>
      </x:c>
      <x:c r="I53" s="90" t="str">
        <x:v>Yes</x:v>
      </x:c>
      <x:c r="J53" s="90" t="str">
        <x:v>Recycle</x:v>
      </x:c>
      <x:c r="K53" s="97" t="str">
        <x:v>Not economical to repair; recoverable materials remain.</x:v>
      </x:c>
      <x:c r="L53" s="122" t="n">
        <x:v>4.75</x:v>
      </x:c>
      <x:c r="M53" s="95" t="n">
        <x:v>518</x:v>
      </x:c>
    </x:row>
    <x:row r="54">
      <x:c r="A54" s="90" t="str">
        <x:v>EWU-EW-050</x:v>
      </x:c>
      <x:c r="B54" s="90" t="str">
        <x:v>Keyboard</x:v>
      </x:c>
      <x:c r="C54" s="90" t="str">
        <x:v>Library</x:v>
      </x:c>
      <x:c r="D54" s="121" t="n">
        <x:v>5</x:v>
      </x:c>
      <x:c r="E54" s="90" t="str">
        <x:v>Good</x:v>
      </x:c>
      <x:c r="F54" s="92" t="n">
        <x:v>0.8</x:v>
      </x:c>
      <x:c r="G54" s="95" t="n">
        <x:v>0</x:v>
      </x:c>
      <x:c r="H54" s="95" t="n">
        <x:v>1300</x:v>
      </x:c>
      <x:c r="I54" s="90" t="str">
        <x:v>No</x:v>
      </x:c>
      <x:c r="J54" s="90" t="str">
        <x:v>Reuse</x:v>
      </x:c>
      <x:c r="K54" s="97" t="str">
        <x:v>Functional and suitable for reassignment after inspection.</x:v>
      </x:c>
      <x:c r="L54" s="122" t="n">
        <x:v>2.4</x:v>
      </x:c>
      <x:c r="M54" s="95" t="n">
        <x:v>909</x:v>
      </x:c>
    </x:row>
    <x:row r="55">
      <x:c r="A55" s="90" t="str">
        <x:v>EWU-EW-051</x:v>
      </x:c>
      <x:c r="B55" s="90" t="str">
        <x:v>Keyboard</x:v>
      </x:c>
      <x:c r="C55" s="90" t="str">
        <x:v>Faculty Offices</x:v>
      </x:c>
      <x:c r="D55" s="121" t="n">
        <x:v>3</x:v>
      </x:c>
      <x:c r="E55" s="90" t="str">
        <x:v>Good</x:v>
      </x:c>
      <x:c r="F55" s="92" t="n">
        <x:v>0.49</x:v>
      </x:c>
      <x:c r="G55" s="95" t="n">
        <x:v>0</x:v>
      </x:c>
      <x:c r="H55" s="95" t="n">
        <x:v>1200</x:v>
      </x:c>
      <x:c r="I55" s="90" t="str">
        <x:v>No</x:v>
      </x:c>
      <x:c r="J55" s="90" t="str">
        <x:v>Reuse</x:v>
      </x:c>
      <x:c r="K55" s="97" t="str">
        <x:v>Functional and suitable for reassignment after inspection.</x:v>
      </x:c>
      <x:c r="L55" s="122" t="n">
        <x:v>1.47</x:v>
      </x:c>
      <x:c r="M55" s="95" t="n">
        <x:v>840</x:v>
      </x:c>
    </x:row>
    <x:row r="56">
      <x:c r="A56" s="90" t="str">
        <x:v>EWU-EW-052</x:v>
      </x:c>
      <x:c r="B56" s="90" t="str">
        <x:v>Keyboard</x:v>
      </x:c>
      <x:c r="C56" s="90" t="str">
        <x:v>Student Services</x:v>
      </x:c>
      <x:c r="D56" s="121" t="n">
        <x:v>4</x:v>
      </x:c>
      <x:c r="E56" s="90" t="str">
        <x:v>Fair</x:v>
      </x:c>
      <x:c r="F56" s="92" t="n">
        <x:v>0.73</x:v>
      </x:c>
      <x:c r="G56" s="95" t="n">
        <x:v>0</x:v>
      </x:c>
      <x:c r="H56" s="95" t="n">
        <x:v>1200</x:v>
      </x:c>
      <x:c r="I56" s="90" t="str">
        <x:v>No</x:v>
      </x:c>
      <x:c r="J56" s="90" t="str">
        <x:v>Reuse</x:v>
      </x:c>
      <x:c r="K56" s="97" t="str">
        <x:v>Functional and suitable for reassignment after inspection.</x:v>
      </x:c>
      <x:c r="L56" s="122" t="n">
        <x:v>2.19</x:v>
      </x:c>
      <x:c r="M56" s="95" t="n">
        <x:v>840</x:v>
      </x:c>
    </x:row>
    <x:row r="57">
      <x:c r="A57" s="90" t="str">
        <x:v>EWU-EW-053</x:v>
      </x:c>
      <x:c r="B57" s="90" t="str">
        <x:v>Keyboard</x:v>
      </x:c>
      <x:c r="C57" s="90" t="str">
        <x:v>Faculty Offices</x:v>
      </x:c>
      <x:c r="D57" s="121" t="n">
        <x:v>3</x:v>
      </x:c>
      <x:c r="E57" s="90" t="str">
        <x:v>Fair</x:v>
      </x:c>
      <x:c r="F57" s="92" t="n">
        <x:v>0.79</x:v>
      </x:c>
      <x:c r="G57" s="95" t="n">
        <x:v>0</x:v>
      </x:c>
      <x:c r="H57" s="95" t="n">
        <x:v>1400</x:v>
      </x:c>
      <x:c r="I57" s="90" t="str">
        <x:v>No</x:v>
      </x:c>
      <x:c r="J57" s="90" t="str">
        <x:v>Reuse</x:v>
      </x:c>
      <x:c r="K57" s="97" t="str">
        <x:v>Functional and suitable for reassignment after inspection.</x:v>
      </x:c>
      <x:c r="L57" s="122" t="n">
        <x:v>2.37</x:v>
      </x:c>
      <x:c r="M57" s="95" t="n">
        <x:v>979</x:v>
      </x:c>
    </x:row>
    <x:row r="58">
      <x:c r="A58" s="90" t="str">
        <x:v>EWU-EW-054</x:v>
      </x:c>
      <x:c r="B58" s="90" t="str">
        <x:v>Keyboard</x:v>
      </x:c>
      <x:c r="C58" s="90" t="str">
        <x:v>Student Services</x:v>
      </x:c>
      <x:c r="D58" s="121" t="n">
        <x:v>3</x:v>
      </x:c>
      <x:c r="E58" s="90" t="str">
        <x:v>Fair</x:v>
      </x:c>
      <x:c r="F58" s="92" t="n">
        <x:v>0.73</x:v>
      </x:c>
      <x:c r="G58" s="95" t="n">
        <x:v>400</x:v>
      </x:c>
      <x:c r="H58" s="95" t="n">
        <x:v>1400</x:v>
      </x:c>
      <x:c r="I58" s="90" t="str">
        <x:v>No</x:v>
      </x:c>
      <x:c r="J58" s="90" t="str">
        <x:v>Repair</x:v>
      </x:c>
      <x:c r="K58" s="97" t="str">
        <x:v>Repair cost is below the 40% replacement-cost threshold.</x:v>
      </x:c>
      <x:c r="L58" s="122" t="n">
        <x:v>1.61</x:v>
      </x:c>
      <x:c r="M58" s="95" t="n">
        <x:v>1000</x:v>
      </x:c>
    </x:row>
    <x:row r="59">
      <x:c r="A59" s="90" t="str">
        <x:v>EWU-EW-055</x:v>
      </x:c>
      <x:c r="B59" s="90" t="str">
        <x:v>Keyboard</x:v>
      </x:c>
      <x:c r="C59" s="90" t="str">
        <x:v>EEE Laboratory</x:v>
      </x:c>
      <x:c r="D59" s="121" t="n">
        <x:v>3</x:v>
      </x:c>
      <x:c r="E59" s="90" t="str">
        <x:v>Good</x:v>
      </x:c>
      <x:c r="F59" s="92" t="n">
        <x:v>0.66</x:v>
      </x:c>
      <x:c r="G59" s="95" t="n">
        <x:v>0</x:v>
      </x:c>
      <x:c r="H59" s="95" t="n">
        <x:v>1200</x:v>
      </x:c>
      <x:c r="I59" s="90" t="str">
        <x:v>No</x:v>
      </x:c>
      <x:c r="J59" s="90" t="str">
        <x:v>Reuse</x:v>
      </x:c>
      <x:c r="K59" s="97" t="str">
        <x:v>Functional and suitable for reassignment after inspection.</x:v>
      </x:c>
      <x:c r="L59" s="122" t="n">
        <x:v>1.98</x:v>
      </x:c>
      <x:c r="M59" s="95" t="n">
        <x:v>840</x:v>
      </x:c>
    </x:row>
    <x:row r="60">
      <x:c r="A60" s="90" t="str">
        <x:v>EWU-EW-056</x:v>
      </x:c>
      <x:c r="B60" s="90" t="str">
        <x:v>Keyboard</x:v>
      </x:c>
      <x:c r="C60" s="90" t="str">
        <x:v>Student Services</x:v>
      </x:c>
      <x:c r="D60" s="121" t="n">
        <x:v>10</x:v>
      </x:c>
      <x:c r="E60" s="90" t="str">
        <x:v>Non-functional</x:v>
      </x:c>
      <x:c r="F60" s="92" t="n">
        <x:v>0.58</x:v>
      </x:c>
      <x:c r="G60" s="95" t="n">
        <x:v>900</x:v>
      </x:c>
      <x:c r="H60" s="95" t="n">
        <x:v>1100</x:v>
      </x:c>
      <x:c r="I60" s="90" t="str">
        <x:v>No</x:v>
      </x:c>
      <x:c r="J60" s="90" t="str">
        <x:v>Recycle</x:v>
      </x:c>
      <x:c r="K60" s="97" t="str">
        <x:v>Not economical to repair; recoverable materials remain.</x:v>
      </x:c>
      <x:c r="L60" s="122" t="n">
        <x:v>0.64</x:v>
      </x:c>
      <x:c r="M60" s="95" t="n">
        <x:v>69</x:v>
      </x:c>
    </x:row>
    <x:row r="61">
      <x:c r="A61" s="90" t="str">
        <x:v>EWU-EW-057</x:v>
      </x:c>
      <x:c r="B61" s="90" t="str">
        <x:v>Keyboard</x:v>
      </x:c>
      <x:c r="C61" s="90" t="str">
        <x:v>Faculty Offices</x:v>
      </x:c>
      <x:c r="D61" s="121" t="n">
        <x:v>2</x:v>
      </x:c>
      <x:c r="E61" s="90" t="str">
        <x:v>Fair</x:v>
      </x:c>
      <x:c r="F61" s="92" t="n">
        <x:v>0.64</x:v>
      </x:c>
      <x:c r="G61" s="95" t="n">
        <x:v>0</x:v>
      </x:c>
      <x:c r="H61" s="95" t="n">
        <x:v>1200</x:v>
      </x:c>
      <x:c r="I61" s="90" t="str">
        <x:v>No</x:v>
      </x:c>
      <x:c r="J61" s="90" t="str">
        <x:v>Reuse</x:v>
      </x:c>
      <x:c r="K61" s="97" t="str">
        <x:v>Functional and suitable for reassignment after inspection.</x:v>
      </x:c>
      <x:c r="L61" s="122" t="n">
        <x:v>1.92</x:v>
      </x:c>
      <x:c r="M61" s="95" t="n">
        <x:v>840</x:v>
      </x:c>
    </x:row>
    <x:row r="62">
      <x:c r="A62" s="90" t="str">
        <x:v>EWU-EW-058</x:v>
      </x:c>
      <x:c r="B62" s="90" t="str">
        <x:v>Keyboard</x:v>
      </x:c>
      <x:c r="C62" s="90" t="str">
        <x:v>EEE Laboratory</x:v>
      </x:c>
      <x:c r="D62" s="121" t="n">
        <x:v>7</x:v>
      </x:c>
      <x:c r="E62" s="90" t="str">
        <x:v>Obsolete</x:v>
      </x:c>
      <x:c r="F62" s="92" t="n">
        <x:v>0.64</x:v>
      </x:c>
      <x:c r="G62" s="95" t="n">
        <x:v>600</x:v>
      </x:c>
      <x:c r="H62" s="95" t="n">
        <x:v>1000</x:v>
      </x:c>
      <x:c r="I62" s="90" t="str">
        <x:v>No</x:v>
      </x:c>
      <x:c r="J62" s="90" t="str">
        <x:v>Recycle</x:v>
      </x:c>
      <x:c r="K62" s="97" t="str">
        <x:v>Not economical to repair; recoverable materials remain.</x:v>
      </x:c>
      <x:c r="L62" s="122" t="n">
        <x:v>0.7</x:v>
      </x:c>
      <x:c r="M62" s="95" t="n">
        <x:v>76</x:v>
      </x:c>
    </x:row>
    <x:row r="63">
      <x:c r="A63" s="90" t="str">
        <x:v>EWU-EW-059</x:v>
      </x:c>
      <x:c r="B63" s="90" t="str">
        <x:v>Keyboard</x:v>
      </x:c>
      <x:c r="C63" s="90" t="str">
        <x:v>Faculty Offices</x:v>
      </x:c>
      <x:c r="D63" s="121" t="n">
        <x:v>6</x:v>
      </x:c>
      <x:c r="E63" s="90" t="str">
        <x:v>Minor Fault</x:v>
      </x:c>
      <x:c r="F63" s="92" t="n">
        <x:v>0.73</x:v>
      </x:c>
      <x:c r="G63" s="95" t="n">
        <x:v>300</x:v>
      </x:c>
      <x:c r="H63" s="95" t="n">
        <x:v>1100</x:v>
      </x:c>
      <x:c r="I63" s="90" t="str">
        <x:v>No</x:v>
      </x:c>
      <x:c r="J63" s="90" t="str">
        <x:v>Repair</x:v>
      </x:c>
      <x:c r="K63" s="97" t="str">
        <x:v>Repair cost is below the 40% replacement-cost threshold.</x:v>
      </x:c>
      <x:c r="L63" s="122" t="n">
        <x:v>1.61</x:v>
      </x:c>
      <x:c r="M63" s="95" t="n">
        <x:v>800</x:v>
      </x:c>
    </x:row>
    <x:row r="64">
      <x:c r="A64" s="90" t="str">
        <x:v>EWU-EW-060</x:v>
      </x:c>
      <x:c r="B64" s="90" t="str">
        <x:v>Keyboard</x:v>
      </x:c>
      <x:c r="C64" s="90" t="str">
        <x:v>Administration</x:v>
      </x:c>
      <x:c r="D64" s="121" t="n">
        <x:v>6</x:v>
      </x:c>
      <x:c r="E64" s="90" t="str">
        <x:v>Obsolete</x:v>
      </x:c>
      <x:c r="F64" s="92" t="n">
        <x:v>0.67</x:v>
      </x:c>
      <x:c r="G64" s="95" t="n">
        <x:v>1100</x:v>
      </x:c>
      <x:c r="H64" s="95" t="n">
        <x:v>1200</x:v>
      </x:c>
      <x:c r="I64" s="90" t="str">
        <x:v>No</x:v>
      </x:c>
      <x:c r="J64" s="90" t="str">
        <x:v>Recycle</x:v>
      </x:c>
      <x:c r="K64" s="97" t="str">
        <x:v>Not economical to repair; recoverable materials remain.</x:v>
      </x:c>
      <x:c r="L64" s="122" t="n">
        <x:v>0.74</x:v>
      </x:c>
      <x:c r="M64" s="95" t="n">
        <x:v>80</x:v>
      </x:c>
    </x:row>
    <x:row r="65">
      <x:c r="A65" s="90" t="str">
        <x:v>EWU-EW-061</x:v>
      </x:c>
      <x:c r="B65" s="90" t="str">
        <x:v>Keyboard</x:v>
      </x:c>
      <x:c r="C65" s="90" t="str">
        <x:v>Faculty Offices</x:v>
      </x:c>
      <x:c r="D65" s="121" t="n">
        <x:v>10</x:v>
      </x:c>
      <x:c r="E65" s="90" t="str">
        <x:v>Major Fault</x:v>
      </x:c>
      <x:c r="F65" s="92" t="n">
        <x:v>0.71</x:v>
      </x:c>
      <x:c r="G65" s="95" t="n">
        <x:v>1200</x:v>
      </x:c>
      <x:c r="H65" s="95" t="n">
        <x:v>1300</x:v>
      </x:c>
      <x:c r="I65" s="90" t="str">
        <x:v>No</x:v>
      </x:c>
      <x:c r="J65" s="90" t="str">
        <x:v>Recycle</x:v>
      </x:c>
      <x:c r="K65" s="97" t="str">
        <x:v>Not economical to repair; recoverable materials remain.</x:v>
      </x:c>
      <x:c r="L65" s="122" t="n">
        <x:v>0.78</x:v>
      </x:c>
      <x:c r="M65" s="95" t="n">
        <x:v>85</x:v>
      </x:c>
    </x:row>
    <x:row r="66">
      <x:c r="A66" s="90" t="str">
        <x:v>EWU-EW-062</x:v>
      </x:c>
      <x:c r="B66" s="90" t="str">
        <x:v>Mouse</x:v>
      </x:c>
      <x:c r="C66" s="90" t="str">
        <x:v>CSE Laboratory</x:v>
      </x:c>
      <x:c r="D66" s="121" t="n">
        <x:v>6</x:v>
      </x:c>
      <x:c r="E66" s="90" t="str">
        <x:v>Unsafe</x:v>
      </x:c>
      <x:c r="F66" s="92" t="n">
        <x:v>0.14</x:v>
      </x:c>
      <x:c r="G66" s="95" t="n">
        <x:v>600</x:v>
      </x:c>
      <x:c r="H66" s="95" t="n">
        <x:v>700</x:v>
      </x:c>
      <x:c r="I66" s="90" t="str">
        <x:v>No</x:v>
      </x:c>
      <x:c r="J66" s="90" t="str">
        <x:v>Safe Disposal</x:v>
      </x:c>
      <x:c r="K66" s="97" t="str">
        <x:v>Hazardous, leaking, or unsafe item requiring controlled handling.</x:v>
      </x:c>
      <x:c r="L66" s="122" t="n">
        <x:v>0.02</x:v>
      </x:c>
      <x:c r="M66" s="95" t="n">
        <x:v>0</x:v>
      </x:c>
    </x:row>
    <x:row r="67">
      <x:c r="A67" s="90" t="str">
        <x:v>EWU-EW-063</x:v>
      </x:c>
      <x:c r="B67" s="90" t="str">
        <x:v>Mouse</x:v>
      </x:c>
      <x:c r="C67" s="90" t="str">
        <x:v>Faculty Offices</x:v>
      </x:c>
      <x:c r="D67" s="121" t="n">
        <x:v>12</x:v>
      </x:c>
      <x:c r="E67" s="90" t="str">
        <x:v>Major Fault</x:v>
      </x:c>
      <x:c r="F67" s="92" t="n">
        <x:v>0.15</x:v>
      </x:c>
      <x:c r="G67" s="95" t="n">
        <x:v>400</x:v>
      </x:c>
      <x:c r="H67" s="95" t="n">
        <x:v>700</x:v>
      </x:c>
      <x:c r="I67" s="90" t="str">
        <x:v>No</x:v>
      </x:c>
      <x:c r="J67" s="90" t="str">
        <x:v>Recycle</x:v>
      </x:c>
      <x:c r="K67" s="97" t="str">
        <x:v>Not economical to repair; recoverable materials remain.</x:v>
      </x:c>
      <x:c r="L67" s="122" t="n">
        <x:v>0.16</x:v>
      </x:c>
      <x:c r="M67" s="95" t="n">
        <x:v>18</x:v>
      </x:c>
    </x:row>
    <x:row r="68">
      <x:c r="A68" s="90" t="str">
        <x:v>EWU-EW-064</x:v>
      </x:c>
      <x:c r="B68" s="90" t="str">
        <x:v>Mouse</x:v>
      </x:c>
      <x:c r="C68" s="90" t="str">
        <x:v>CSE Laboratory</x:v>
      </x:c>
      <x:c r="D68" s="121" t="n">
        <x:v>6</x:v>
      </x:c>
      <x:c r="E68" s="90" t="str">
        <x:v>Minor Fault</x:v>
      </x:c>
      <x:c r="F68" s="92" t="n">
        <x:v>0.17</x:v>
      </x:c>
      <x:c r="G68" s="95" t="n">
        <x:v>100</x:v>
      </x:c>
      <x:c r="H68" s="95" t="n">
        <x:v>600</x:v>
      </x:c>
      <x:c r="I68" s="90" t="str">
        <x:v>No</x:v>
      </x:c>
      <x:c r="J68" s="90" t="str">
        <x:v>Repair</x:v>
      </x:c>
      <x:c r="K68" s="97" t="str">
        <x:v>Repair cost is below the 40% replacement-cost threshold.</x:v>
      </x:c>
      <x:c r="L68" s="122" t="n">
        <x:v>0.37</x:v>
      </x:c>
      <x:c r="M68" s="95" t="n">
        <x:v>500</x:v>
      </x:c>
    </x:row>
    <x:row r="69">
      <x:c r="A69" s="90" t="str">
        <x:v>EWU-EW-065</x:v>
      </x:c>
      <x:c r="B69" s="90" t="str">
        <x:v>Mouse</x:v>
      </x:c>
      <x:c r="C69" s="90" t="str">
        <x:v>Faculty Offices</x:v>
      </x:c>
      <x:c r="D69" s="121" t="n">
        <x:v>3</x:v>
      </x:c>
      <x:c r="E69" s="90" t="str">
        <x:v>Minor Fault</x:v>
      </x:c>
      <x:c r="F69" s="92" t="n">
        <x:v>0.18</x:v>
      </x:c>
      <x:c r="G69" s="95" t="n">
        <x:v>100</x:v>
      </x:c>
      <x:c r="H69" s="95" t="n">
        <x:v>600</x:v>
      </x:c>
      <x:c r="I69" s="90" t="str">
        <x:v>No</x:v>
      </x:c>
      <x:c r="J69" s="90" t="str">
        <x:v>Repair</x:v>
      </x:c>
      <x:c r="K69" s="97" t="str">
        <x:v>Repair cost is below the 40% replacement-cost threshold.</x:v>
      </x:c>
      <x:c r="L69" s="122" t="n">
        <x:v>0.4</x:v>
      </x:c>
      <x:c r="M69" s="95" t="n">
        <x:v>500</x:v>
      </x:c>
    </x:row>
    <x:row r="70">
      <x:c r="A70" s="90" t="str">
        <x:v>EWU-EW-066</x:v>
      </x:c>
      <x:c r="B70" s="90" t="str">
        <x:v>Mouse</x:v>
      </x:c>
      <x:c r="C70" s="90" t="str">
        <x:v>EEE Laboratory</x:v>
      </x:c>
      <x:c r="D70" s="121" t="n">
        <x:v>11</x:v>
      </x:c>
      <x:c r="E70" s="90" t="str">
        <x:v>Obsolete</x:v>
      </x:c>
      <x:c r="F70" s="92" t="n">
        <x:v>0.18</x:v>
      </x:c>
      <x:c r="G70" s="95" t="n">
        <x:v>500</x:v>
      </x:c>
      <x:c r="H70" s="95" t="n">
        <x:v>600</x:v>
      </x:c>
      <x:c r="I70" s="90" t="str">
        <x:v>No</x:v>
      </x:c>
      <x:c r="J70" s="90" t="str">
        <x:v>Recycle</x:v>
      </x:c>
      <x:c r="K70" s="97" t="str">
        <x:v>Not economical to repair; recoverable materials remain.</x:v>
      </x:c>
      <x:c r="L70" s="122" t="n">
        <x:v>0.2</x:v>
      </x:c>
      <x:c r="M70" s="95" t="n">
        <x:v>21</x:v>
      </x:c>
    </x:row>
    <x:row r="71">
      <x:c r="A71" s="90" t="str">
        <x:v>EWU-EW-067</x:v>
      </x:c>
      <x:c r="B71" s="90" t="str">
        <x:v>Mouse</x:v>
      </x:c>
      <x:c r="C71" s="90" t="str">
        <x:v>Student Services</x:v>
      </x:c>
      <x:c r="D71" s="121" t="n">
        <x:v>5</x:v>
      </x:c>
      <x:c r="E71" s="90" t="str">
        <x:v>Minor Fault</x:v>
      </x:c>
      <x:c r="F71" s="92" t="n">
        <x:v>0.15</x:v>
      </x:c>
      <x:c r="G71" s="95" t="n">
        <x:v>200</x:v>
      </x:c>
      <x:c r="H71" s="95" t="n">
        <x:v>700</x:v>
      </x:c>
      <x:c r="I71" s="90" t="str">
        <x:v>No</x:v>
      </x:c>
      <x:c r="J71" s="90" t="str">
        <x:v>Repair</x:v>
      </x:c>
      <x:c r="K71" s="97" t="str">
        <x:v>Repair cost is below the 40% replacement-cost threshold.</x:v>
      </x:c>
      <x:c r="L71" s="122" t="n">
        <x:v>0.33</x:v>
      </x:c>
      <x:c r="M71" s="95" t="n">
        <x:v>500</x:v>
      </x:c>
    </x:row>
    <x:row r="72">
      <x:c r="A72" s="90" t="str">
        <x:v>EWU-EW-068</x:v>
      </x:c>
      <x:c r="B72" s="90" t="str">
        <x:v>Mouse</x:v>
      </x:c>
      <x:c r="C72" s="90" t="str">
        <x:v>CSE Laboratory</x:v>
      </x:c>
      <x:c r="D72" s="121" t="n">
        <x:v>7</x:v>
      </x:c>
      <x:c r="E72" s="90" t="str">
        <x:v>Major Fault</x:v>
      </x:c>
      <x:c r="F72" s="92" t="n">
        <x:v>0.17</x:v>
      </x:c>
      <x:c r="G72" s="95" t="n">
        <x:v>500</x:v>
      </x:c>
      <x:c r="H72" s="95" t="n">
        <x:v>700</x:v>
      </x:c>
      <x:c r="I72" s="90" t="str">
        <x:v>No</x:v>
      </x:c>
      <x:c r="J72" s="90" t="str">
        <x:v>Recycle</x:v>
      </x:c>
      <x:c r="K72" s="97" t="str">
        <x:v>Not economical to repair; recoverable materials remain.</x:v>
      </x:c>
      <x:c r="L72" s="122" t="n">
        <x:v>0.19</x:v>
      </x:c>
      <x:c r="M72" s="95" t="n">
        <x:v>20</x:v>
      </x:c>
    </x:row>
    <x:row r="73">
      <x:c r="A73" s="90" t="str">
        <x:v>EWU-EW-069</x:v>
      </x:c>
      <x:c r="B73" s="90" t="str">
        <x:v>Mouse</x:v>
      </x:c>
      <x:c r="C73" s="90" t="str">
        <x:v>Library</x:v>
      </x:c>
      <x:c r="D73" s="121" t="n">
        <x:v>12</x:v>
      </x:c>
      <x:c r="E73" s="90" t="str">
        <x:v>Obsolete</x:v>
      </x:c>
      <x:c r="F73" s="92" t="n">
        <x:v>0.16</x:v>
      </x:c>
      <x:c r="G73" s="95" t="n">
        <x:v>600</x:v>
      </x:c>
      <x:c r="H73" s="95" t="n">
        <x:v>800</x:v>
      </x:c>
      <x:c r="I73" s="90" t="str">
        <x:v>No</x:v>
      </x:c>
      <x:c r="J73" s="90" t="str">
        <x:v>Recycle</x:v>
      </x:c>
      <x:c r="K73" s="97" t="str">
        <x:v>Not economical to repair; recoverable materials remain.</x:v>
      </x:c>
      <x:c r="L73" s="122" t="n">
        <x:v>0.18</x:v>
      </x:c>
      <x:c r="M73" s="95" t="n">
        <x:v>19</x:v>
      </x:c>
    </x:row>
    <x:row r="74">
      <x:c r="A74" s="90" t="str">
        <x:v>EWU-EW-070</x:v>
      </x:c>
      <x:c r="B74" s="90" t="str">
        <x:v>Mouse</x:v>
      </x:c>
      <x:c r="C74" s="90" t="str">
        <x:v>CSE Laboratory</x:v>
      </x:c>
      <x:c r="D74" s="121" t="n">
        <x:v>9</x:v>
      </x:c>
      <x:c r="E74" s="90" t="str">
        <x:v>Damaged/Hazardous</x:v>
      </x:c>
      <x:c r="F74" s="92" t="n">
        <x:v>0.14</x:v>
      </x:c>
      <x:c r="G74" s="95" t="n">
        <x:v>600</x:v>
      </x:c>
      <x:c r="H74" s="95" t="n">
        <x:v>800</x:v>
      </x:c>
      <x:c r="I74" s="90" t="str">
        <x:v>No</x:v>
      </x:c>
      <x:c r="J74" s="90" t="str">
        <x:v>Safe Disposal</x:v>
      </x:c>
      <x:c r="K74" s="97" t="str">
        <x:v>Hazardous, leaking, or unsafe item requiring controlled handling.</x:v>
      </x:c>
      <x:c r="L74" s="122" t="n">
        <x:v>0.02</x:v>
      </x:c>
      <x:c r="M74" s="95" t="n">
        <x:v>0</x:v>
      </x:c>
    </x:row>
    <x:row r="75">
      <x:c r="A75" s="90" t="str">
        <x:v>EWU-EW-071</x:v>
      </x:c>
      <x:c r="B75" s="90" t="str">
        <x:v>Mouse</x:v>
      </x:c>
      <x:c r="C75" s="90" t="str">
        <x:v>EEE Laboratory</x:v>
      </x:c>
      <x:c r="D75" s="121" t="n">
        <x:v>10</x:v>
      </x:c>
      <x:c r="E75" s="90" t="str">
        <x:v>Obsolete</x:v>
      </x:c>
      <x:c r="F75" s="92" t="n">
        <x:v>0.16</x:v>
      </x:c>
      <x:c r="G75" s="95" t="n">
        <x:v>600</x:v>
      </x:c>
      <x:c r="H75" s="95" t="n">
        <x:v>700</x:v>
      </x:c>
      <x:c r="I75" s="90" t="str">
        <x:v>No</x:v>
      </x:c>
      <x:c r="J75" s="90" t="str">
        <x:v>Recycle</x:v>
      </x:c>
      <x:c r="K75" s="97" t="str">
        <x:v>Not economical to repair; recoverable materials remain.</x:v>
      </x:c>
      <x:c r="L75" s="122" t="n">
        <x:v>0.18</x:v>
      </x:c>
      <x:c r="M75" s="95" t="n">
        <x:v>19</x:v>
      </x:c>
    </x:row>
    <x:row r="76">
      <x:c r="A76" s="90" t="str">
        <x:v>EWU-EW-072</x:v>
      </x:c>
      <x:c r="B76" s="90" t="str">
        <x:v>Printer</x:v>
      </x:c>
      <x:c r="C76" s="90" t="str">
        <x:v>CSE Laboratory</x:v>
      </x:c>
      <x:c r="D76" s="121" t="n">
        <x:v>4</x:v>
      </x:c>
      <x:c r="E76" s="90" t="str">
        <x:v>Minor Fault</x:v>
      </x:c>
      <x:c r="F76" s="92" t="n">
        <x:v>12.68</x:v>
      </x:c>
      <x:c r="G76" s="95" t="n">
        <x:v>4300</x:v>
      </x:c>
      <x:c r="H76" s="95" t="n">
        <x:v>23800</x:v>
      </x:c>
      <x:c r="I76" s="90" t="str">
        <x:v>No</x:v>
      </x:c>
      <x:c r="J76" s="90" t="str">
        <x:v>Repair</x:v>
      </x:c>
      <x:c r="K76" s="97" t="str">
        <x:v>Repair cost is below the 40% replacement-cost threshold.</x:v>
      </x:c>
      <x:c r="L76" s="122" t="n">
        <x:v>27.9</x:v>
      </x:c>
      <x:c r="M76" s="95" t="n">
        <x:v>19500</x:v>
      </x:c>
    </x:row>
    <x:row r="77">
      <x:c r="A77" s="90" t="str">
        <x:v>EWU-EW-073</x:v>
      </x:c>
      <x:c r="B77" s="90" t="str">
        <x:v>Printer</x:v>
      </x:c>
      <x:c r="C77" s="90" t="str">
        <x:v>Student Services</x:v>
      </x:c>
      <x:c r="D77" s="121" t="n">
        <x:v>11</x:v>
      </x:c>
      <x:c r="E77" s="90" t="str">
        <x:v>Obsolete</x:v>
      </x:c>
      <x:c r="F77" s="92" t="n">
        <x:v>11.55</x:v>
      </x:c>
      <x:c r="G77" s="95" t="n">
        <x:v>19100</x:v>
      </x:c>
      <x:c r="H77" s="95" t="n">
        <x:v>26600</x:v>
      </x:c>
      <x:c r="I77" s="90" t="str">
        <x:v>No</x:v>
      </x:c>
      <x:c r="J77" s="90" t="str">
        <x:v>Recycle</x:v>
      </x:c>
      <x:c r="K77" s="97" t="str">
        <x:v>Not economical to repair; recoverable materials remain.</x:v>
      </x:c>
      <x:c r="L77" s="122" t="n">
        <x:v>12.71</x:v>
      </x:c>
      <x:c r="M77" s="95" t="n">
        <x:v>1386</x:v>
      </x:c>
    </x:row>
    <x:row r="78">
      <x:c r="A78" s="90" t="str">
        <x:v>EWU-EW-074</x:v>
      </x:c>
      <x:c r="B78" s="90" t="str">
        <x:v>Printer</x:v>
      </x:c>
      <x:c r="C78" s="90" t="str">
        <x:v>EEE Laboratory</x:v>
      </x:c>
      <x:c r="D78" s="121" t="n">
        <x:v>7</x:v>
      </x:c>
      <x:c r="E78" s="90" t="str">
        <x:v>Minor Fault</x:v>
      </x:c>
      <x:c r="F78" s="92" t="n">
        <x:v>11.27</x:v>
      </x:c>
      <x:c r="G78" s="95" t="n">
        <x:v>5800</x:v>
      </x:c>
      <x:c r="H78" s="95" t="n">
        <x:v>24100</x:v>
      </x:c>
      <x:c r="I78" s="90" t="str">
        <x:v>No</x:v>
      </x:c>
      <x:c r="J78" s="90" t="str">
        <x:v>Repair</x:v>
      </x:c>
      <x:c r="K78" s="97" t="str">
        <x:v>Repair cost is below the 40% replacement-cost threshold.</x:v>
      </x:c>
      <x:c r="L78" s="122" t="n">
        <x:v>24.79</x:v>
      </x:c>
      <x:c r="M78" s="95" t="n">
        <x:v>18300</x:v>
      </x:c>
    </x:row>
    <x:row r="79">
      <x:c r="A79" s="90" t="str">
        <x:v>EWU-EW-075</x:v>
      </x:c>
      <x:c r="B79" s="90" t="str">
        <x:v>Printer</x:v>
      </x:c>
      <x:c r="C79" s="90" t="str">
        <x:v>Student Services</x:v>
      </x:c>
      <x:c r="D79" s="121" t="n">
        <x:v>11</x:v>
      </x:c>
      <x:c r="E79" s="90" t="str">
        <x:v>Leaking</x:v>
      </x:c>
      <x:c r="F79" s="92" t="n">
        <x:v>11.48</x:v>
      </x:c>
      <x:c r="G79" s="95" t="n">
        <x:v>22800</x:v>
      </x:c>
      <x:c r="H79" s="95" t="n">
        <x:v>27300</x:v>
      </x:c>
      <x:c r="I79" s="90" t="str">
        <x:v>No</x:v>
      </x:c>
      <x:c r="J79" s="90" t="str">
        <x:v>Safe Disposal</x:v>
      </x:c>
      <x:c r="K79" s="97" t="str">
        <x:v>Hazardous, leaking, or unsafe item requiring controlled handling.</x:v>
      </x:c>
      <x:c r="L79" s="122" t="n">
        <x:v>1.72</x:v>
      </x:c>
      <x:c r="M79" s="95" t="n">
        <x:v>0</x:v>
      </x:c>
    </x:row>
    <x:row r="80">
      <x:c r="A80" s="90" t="str">
        <x:v>EWU-EW-076</x:v>
      </x:c>
      <x:c r="B80" s="90" t="str">
        <x:v>Printer</x:v>
      </x:c>
      <x:c r="C80" s="90" t="str">
        <x:v>Faculty Offices</x:v>
      </x:c>
      <x:c r="D80" s="121" t="n">
        <x:v>8</x:v>
      </x:c>
      <x:c r="E80" s="90" t="str">
        <x:v>Obsolete</x:v>
      </x:c>
      <x:c r="F80" s="92" t="n">
        <x:v>10.98</x:v>
      </x:c>
      <x:c r="G80" s="95" t="n">
        <x:v>16300</x:v>
      </x:c>
      <x:c r="H80" s="95" t="n">
        <x:v>25500</x:v>
      </x:c>
      <x:c r="I80" s="90" t="str">
        <x:v>No</x:v>
      </x:c>
      <x:c r="J80" s="90" t="str">
        <x:v>Recycle</x:v>
      </x:c>
      <x:c r="K80" s="97" t="str">
        <x:v>Not economical to repair; recoverable materials remain.</x:v>
      </x:c>
      <x:c r="L80" s="122" t="n">
        <x:v>12.08</x:v>
      </x:c>
      <x:c r="M80" s="95" t="n">
        <x:v>1317</x:v>
      </x:c>
    </x:row>
    <x:row r="81">
      <x:c r="A81" s="90" t="str">
        <x:v>EWU-EW-077</x:v>
      </x:c>
      <x:c r="B81" s="90" t="str">
        <x:v>Printer</x:v>
      </x:c>
      <x:c r="C81" s="90" t="str">
        <x:v>Student Services</x:v>
      </x:c>
      <x:c r="D81" s="121" t="n">
        <x:v>7</x:v>
      </x:c>
      <x:c r="E81" s="90" t="str">
        <x:v>Obsolete</x:v>
      </x:c>
      <x:c r="F81" s="92" t="n">
        <x:v>11.5</x:v>
      </x:c>
      <x:c r="G81" s="95" t="n">
        <x:v>14300</x:v>
      </x:c>
      <x:c r="H81" s="95" t="n">
        <x:v>21400</x:v>
      </x:c>
      <x:c r="I81" s="90" t="str">
        <x:v>No</x:v>
      </x:c>
      <x:c r="J81" s="90" t="str">
        <x:v>Recycle</x:v>
      </x:c>
      <x:c r="K81" s="97" t="str">
        <x:v>Not economical to repair; recoverable materials remain.</x:v>
      </x:c>
      <x:c r="L81" s="122" t="n">
        <x:v>12.65</x:v>
      </x:c>
      <x:c r="M81" s="95" t="n">
        <x:v>1380</x:v>
      </x:c>
    </x:row>
    <x:row r="82">
      <x:c r="A82" s="90" t="str">
        <x:v>EWU-EW-078</x:v>
      </x:c>
      <x:c r="B82" s="90" t="str">
        <x:v>Printer</x:v>
      </x:c>
      <x:c r="C82" s="90" t="str">
        <x:v>Library</x:v>
      </x:c>
      <x:c r="D82" s="121" t="n">
        <x:v>5</x:v>
      </x:c>
      <x:c r="E82" s="90" t="str">
        <x:v>Fair</x:v>
      </x:c>
      <x:c r="F82" s="92" t="n">
        <x:v>9.55</x:v>
      </x:c>
      <x:c r="G82" s="95" t="n">
        <x:v>4700</x:v>
      </x:c>
      <x:c r="H82" s="95" t="n">
        <x:v>24900</x:v>
      </x:c>
      <x:c r="I82" s="90" t="str">
        <x:v>No</x:v>
      </x:c>
      <x:c r="J82" s="90" t="str">
        <x:v>Repair</x:v>
      </x:c>
      <x:c r="K82" s="97" t="str">
        <x:v>Repair cost is below the 40% replacement-cost threshold.</x:v>
      </x:c>
      <x:c r="L82" s="122" t="n">
        <x:v>21.01</x:v>
      </x:c>
      <x:c r="M82" s="95" t="n">
        <x:v>20200</x:v>
      </x:c>
    </x:row>
    <x:row r="83">
      <x:c r="A83" s="90" t="str">
        <x:v>EWU-EW-079</x:v>
      </x:c>
      <x:c r="B83" s="90" t="str">
        <x:v>Printer</x:v>
      </x:c>
      <x:c r="C83" s="90" t="str">
        <x:v>Faculty Offices</x:v>
      </x:c>
      <x:c r="D83" s="121" t="n">
        <x:v>9</x:v>
      </x:c>
      <x:c r="E83" s="90" t="str">
        <x:v>Unsafe</x:v>
      </x:c>
      <x:c r="F83" s="92" t="n">
        <x:v>10.3</x:v>
      </x:c>
      <x:c r="G83" s="95" t="n">
        <x:v>16900</x:v>
      </x:c>
      <x:c r="H83" s="95" t="n">
        <x:v>22500</x:v>
      </x:c>
      <x:c r="I83" s="90" t="str">
        <x:v>No</x:v>
      </x:c>
      <x:c r="J83" s="90" t="str">
        <x:v>Safe Disposal</x:v>
      </x:c>
      <x:c r="K83" s="97" t="str">
        <x:v>Hazardous, leaking, or unsafe item requiring controlled handling.</x:v>
      </x:c>
      <x:c r="L83" s="122" t="n">
        <x:v>1.55</x:v>
      </x:c>
      <x:c r="M83" s="95" t="n">
        <x:v>0</x:v>
      </x:c>
    </x:row>
    <x:row r="84">
      <x:c r="A84" s="90" t="str">
        <x:v>EWU-EW-080</x:v>
      </x:c>
      <x:c r="B84" s="90" t="str">
        <x:v>UPS</x:v>
      </x:c>
      <x:c r="C84" s="90" t="str">
        <x:v>Faculty Offices</x:v>
      </x:c>
      <x:c r="D84" s="121" t="n">
        <x:v>6</x:v>
      </x:c>
      <x:c r="E84" s="90" t="str">
        <x:v>Obsolete</x:v>
      </x:c>
      <x:c r="F84" s="92" t="n">
        <x:v>7</x:v>
      </x:c>
      <x:c r="G84" s="95" t="n">
        <x:v>5900</x:v>
      </x:c>
      <x:c r="H84" s="95" t="n">
        <x:v>8100</x:v>
      </x:c>
      <x:c r="I84" s="90" t="str">
        <x:v>Yes</x:v>
      </x:c>
      <x:c r="J84" s="90" t="str">
        <x:v>Recycle</x:v>
      </x:c>
      <x:c r="K84" s="97" t="str">
        <x:v>Not economical to repair; recoverable materials remain.</x:v>
      </x:c>
      <x:c r="L84" s="122" t="n">
        <x:v>7.7</x:v>
      </x:c>
      <x:c r="M84" s="95" t="n">
        <x:v>840</x:v>
      </x:c>
    </x:row>
    <x:row r="85">
      <x:c r="A85" s="90" t="str">
        <x:v>EWU-EW-081</x:v>
      </x:c>
      <x:c r="B85" s="90" t="str">
        <x:v>UPS</x:v>
      </x:c>
      <x:c r="C85" s="90" t="str">
        <x:v>Student Services</x:v>
      </x:c>
      <x:c r="D85" s="121" t="n">
        <x:v>6</x:v>
      </x:c>
      <x:c r="E85" s="90" t="str">
        <x:v>Non-functional</x:v>
      </x:c>
      <x:c r="F85" s="92" t="n">
        <x:v>6.87</x:v>
      </x:c>
      <x:c r="G85" s="95" t="n">
        <x:v>7900</x:v>
      </x:c>
      <x:c r="H85" s="95" t="n">
        <x:v>9200</x:v>
      </x:c>
      <x:c r="I85" s="90" t="str">
        <x:v>Yes</x:v>
      </x:c>
      <x:c r="J85" s="90" t="str">
        <x:v>Recycle</x:v>
      </x:c>
      <x:c r="K85" s="97" t="str">
        <x:v>Not economical to repair; recoverable materials remain.</x:v>
      </x:c>
      <x:c r="L85" s="122" t="n">
        <x:v>7.56</x:v>
      </x:c>
      <x:c r="M85" s="95" t="n">
        <x:v>824</x:v>
      </x:c>
    </x:row>
    <x:row r="86">
      <x:c r="A86" s="90" t="str">
        <x:v>EWU-EW-082</x:v>
      </x:c>
      <x:c r="B86" s="90" t="str">
        <x:v>UPS</x:v>
      </x:c>
      <x:c r="C86" s="90" t="str">
        <x:v>Student Services</x:v>
      </x:c>
      <x:c r="D86" s="121" t="n">
        <x:v>9</x:v>
      </x:c>
      <x:c r="E86" s="90" t="str">
        <x:v>Major Fault</x:v>
      </x:c>
      <x:c r="F86" s="92" t="n">
        <x:v>7.66</x:v>
      </x:c>
      <x:c r="G86" s="95" t="n">
        <x:v>7500</x:v>
      </x:c>
      <x:c r="H86" s="95" t="n">
        <x:v>8400</x:v>
      </x:c>
      <x:c r="I86" s="90" t="str">
        <x:v>Yes</x:v>
      </x:c>
      <x:c r="J86" s="90" t="str">
        <x:v>Recycle</x:v>
      </x:c>
      <x:c r="K86" s="97" t="str">
        <x:v>Not economical to repair; recoverable materials remain.</x:v>
      </x:c>
      <x:c r="L86" s="122" t="n">
        <x:v>8.43</x:v>
      </x:c>
      <x:c r="M86" s="95" t="n">
        <x:v>919</x:v>
      </x:c>
    </x:row>
    <x:row r="87">
      <x:c r="A87" s="90" t="str">
        <x:v>EWU-EW-083</x:v>
      </x:c>
      <x:c r="B87" s="90" t="str">
        <x:v>UPS</x:v>
      </x:c>
      <x:c r="C87" s="90" t="str">
        <x:v>Library</x:v>
      </x:c>
      <x:c r="D87" s="121" t="n">
        <x:v>4</x:v>
      </x:c>
      <x:c r="E87" s="90" t="str">
        <x:v>Minor Fault</x:v>
      </x:c>
      <x:c r="F87" s="92" t="n">
        <x:v>9.1</x:v>
      </x:c>
      <x:c r="G87" s="95" t="n">
        <x:v>1200</x:v>
      </x:c>
      <x:c r="H87" s="95" t="n">
        <x:v>9200</x:v>
      </x:c>
      <x:c r="I87" s="90" t="str">
        <x:v>No</x:v>
      </x:c>
      <x:c r="J87" s="90" t="str">
        <x:v>Repair</x:v>
      </x:c>
      <x:c r="K87" s="97" t="str">
        <x:v>Repair cost is below the 40% replacement-cost threshold.</x:v>
      </x:c>
      <x:c r="L87" s="122" t="n">
        <x:v>20.02</x:v>
      </x:c>
      <x:c r="M87" s="95" t="n">
        <x:v>8000</x:v>
      </x:c>
    </x:row>
    <x:row r="88">
      <x:c r="A88" s="90" t="str">
        <x:v>EWU-EW-084</x:v>
      </x:c>
      <x:c r="B88" s="90" t="str">
        <x:v>UPS</x:v>
      </x:c>
      <x:c r="C88" s="90" t="str">
        <x:v>EEE Laboratory</x:v>
      </x:c>
      <x:c r="D88" s="121" t="n">
        <x:v>5</x:v>
      </x:c>
      <x:c r="E88" s="90" t="str">
        <x:v>Minor Fault</x:v>
      </x:c>
      <x:c r="F88" s="92" t="n">
        <x:v>10.27</x:v>
      </x:c>
      <x:c r="G88" s="95" t="n">
        <x:v>1400</x:v>
      </x:c>
      <x:c r="H88" s="95" t="n">
        <x:v>9800</x:v>
      </x:c>
      <x:c r="I88" s="90" t="str">
        <x:v>No</x:v>
      </x:c>
      <x:c r="J88" s="90" t="str">
        <x:v>Repair</x:v>
      </x:c>
      <x:c r="K88" s="97" t="str">
        <x:v>Repair cost is below the 40% replacement-cost threshold.</x:v>
      </x:c>
      <x:c r="L88" s="122" t="n">
        <x:v>22.59</x:v>
      </x:c>
      <x:c r="M88" s="95" t="n">
        <x:v>8400</x:v>
      </x:c>
    </x:row>
    <x:row r="89">
      <x:c r="A89" s="90" t="str">
        <x:v>EWU-EW-085</x:v>
      </x:c>
      <x:c r="B89" s="90" t="str">
        <x:v>UPS</x:v>
      </x:c>
      <x:c r="C89" s="90" t="str">
        <x:v>EEE Laboratory</x:v>
      </x:c>
      <x:c r="D89" s="121" t="n">
        <x:v>4</x:v>
      </x:c>
      <x:c r="E89" s="90" t="str">
        <x:v>Good</x:v>
      </x:c>
      <x:c r="F89" s="92" t="n">
        <x:v>6.82</x:v>
      </x:c>
      <x:c r="G89" s="95" t="n">
        <x:v>0</x:v>
      </x:c>
      <x:c r="H89" s="95" t="n">
        <x:v>8000</x:v>
      </x:c>
      <x:c r="I89" s="90" t="str">
        <x:v>No</x:v>
      </x:c>
      <x:c r="J89" s="90" t="str">
        <x:v>Reuse</x:v>
      </x:c>
      <x:c r="K89" s="97" t="str">
        <x:v>Functional and suitable for reassignment after inspection.</x:v>
      </x:c>
      <x:c r="L89" s="122" t="n">
        <x:v>20.46</x:v>
      </x:c>
      <x:c r="M89" s="95" t="n">
        <x:v>5600</x:v>
      </x:c>
    </x:row>
    <x:row r="90">
      <x:c r="A90" s="90" t="str">
        <x:v>EWU-EW-086</x:v>
      </x:c>
      <x:c r="B90" s="90" t="str">
        <x:v>UPS</x:v>
      </x:c>
      <x:c r="C90" s="90" t="str">
        <x:v>Administration</x:v>
      </x:c>
      <x:c r="D90" s="121" t="n">
        <x:v>12</x:v>
      </x:c>
      <x:c r="E90" s="90" t="str">
        <x:v>Non-functional</x:v>
      </x:c>
      <x:c r="F90" s="92" t="n">
        <x:v>6.8</x:v>
      </x:c>
      <x:c r="G90" s="95" t="n">
        <x:v>7500</x:v>
      </x:c>
      <x:c r="H90" s="95" t="n">
        <x:v>8700</x:v>
      </x:c>
      <x:c r="I90" s="90" t="str">
        <x:v>Yes</x:v>
      </x:c>
      <x:c r="J90" s="90" t="str">
        <x:v>Recycle</x:v>
      </x:c>
      <x:c r="K90" s="97" t="str">
        <x:v>Not economical to repair; recoverable materials remain.</x:v>
      </x:c>
      <x:c r="L90" s="122" t="n">
        <x:v>7.48</x:v>
      </x:c>
      <x:c r="M90" s="95" t="n">
        <x:v>816</x:v>
      </x:c>
    </x:row>
    <x:row r="91">
      <x:c r="A91" s="90" t="str">
        <x:v>EWU-EW-087</x:v>
      </x:c>
      <x:c r="B91" s="90" t="str">
        <x:v>Battery</x:v>
      </x:c>
      <x:c r="C91" s="90" t="str">
        <x:v>Student Services</x:v>
      </x:c>
      <x:c r="D91" s="121" t="n">
        <x:v>5</x:v>
      </x:c>
      <x:c r="E91" s="90" t="str">
        <x:v>Good</x:v>
      </x:c>
      <x:c r="F91" s="92" t="n">
        <x:v>2.69</x:v>
      </x:c>
      <x:c r="G91" s="95" t="n">
        <x:v>0</x:v>
      </x:c>
      <x:c r="H91" s="95" t="n">
        <x:v>4500</x:v>
      </x:c>
      <x:c r="I91" s="90" t="str">
        <x:v>No</x:v>
      </x:c>
      <x:c r="J91" s="90" t="str">
        <x:v>Reuse</x:v>
      </x:c>
      <x:c r="K91" s="97" t="str">
        <x:v>Functional and suitable for reassignment after inspection.</x:v>
      </x:c>
      <x:c r="L91" s="122" t="n">
        <x:v>8.07</x:v>
      </x:c>
      <x:c r="M91" s="95" t="n">
        <x:v>3150</x:v>
      </x:c>
    </x:row>
    <x:row r="92">
      <x:c r="A92" s="90" t="str">
        <x:v>EWU-EW-088</x:v>
      </x:c>
      <x:c r="B92" s="90" t="str">
        <x:v>Battery</x:v>
      </x:c>
      <x:c r="C92" s="90" t="str">
        <x:v>Administration</x:v>
      </x:c>
      <x:c r="D92" s="121" t="n">
        <x:v>3</x:v>
      </x:c>
      <x:c r="E92" s="90" t="str">
        <x:v>Good</x:v>
      </x:c>
      <x:c r="F92" s="92" t="n">
        <x:v>2.45</x:v>
      </x:c>
      <x:c r="G92" s="95" t="n">
        <x:v>0</x:v>
      </x:c>
      <x:c r="H92" s="95" t="n">
        <x:v>4100</x:v>
      </x:c>
      <x:c r="I92" s="90" t="str">
        <x:v>No</x:v>
      </x:c>
      <x:c r="J92" s="90" t="str">
        <x:v>Reuse</x:v>
      </x:c>
      <x:c r="K92" s="97" t="str">
        <x:v>Functional and suitable for reassignment after inspection.</x:v>
      </x:c>
      <x:c r="L92" s="122" t="n">
        <x:v>7.35</x:v>
      </x:c>
      <x:c r="M92" s="95" t="n">
        <x:v>2870</x:v>
      </x:c>
    </x:row>
    <x:row r="93">
      <x:c r="A93" s="90" t="str">
        <x:v>EWU-EW-089</x:v>
      </x:c>
      <x:c r="B93" s="90" t="str">
        <x:v>Battery</x:v>
      </x:c>
      <x:c r="C93" s="90" t="str">
        <x:v>CSE Laboratory</x:v>
      </x:c>
      <x:c r="D93" s="121" t="n">
        <x:v>5</x:v>
      </x:c>
      <x:c r="E93" s="90" t="str">
        <x:v>Good</x:v>
      </x:c>
      <x:c r="F93" s="92" t="n">
        <x:v>2.25</x:v>
      </x:c>
      <x:c r="G93" s="95" t="n">
        <x:v>0</x:v>
      </x:c>
      <x:c r="H93" s="95" t="n">
        <x:v>4500</x:v>
      </x:c>
      <x:c r="I93" s="90" t="str">
        <x:v>No</x:v>
      </x:c>
      <x:c r="J93" s="90" t="str">
        <x:v>Reuse</x:v>
      </x:c>
      <x:c r="K93" s="97" t="str">
        <x:v>Functional and suitable for reassignment after inspection.</x:v>
      </x:c>
      <x:c r="L93" s="122" t="n">
        <x:v>6.75</x:v>
      </x:c>
      <x:c r="M93" s="95" t="n">
        <x:v>3150</x:v>
      </x:c>
    </x:row>
    <x:row r="94">
      <x:c r="A94" s="90" t="str">
        <x:v>EWU-EW-090</x:v>
      </x:c>
      <x:c r="B94" s="90" t="str">
        <x:v>Battery</x:v>
      </x:c>
      <x:c r="C94" s="90" t="str">
        <x:v>IT Services</x:v>
      </x:c>
      <x:c r="D94" s="121" t="n">
        <x:v>11</x:v>
      </x:c>
      <x:c r="E94" s="90" t="str">
        <x:v>Major Fault</x:v>
      </x:c>
      <x:c r="F94" s="92" t="n">
        <x:v>2.77</x:v>
      </x:c>
      <x:c r="G94" s="95" t="n">
        <x:v>2600</x:v>
      </x:c>
      <x:c r="H94" s="95" t="n">
        <x:v>4300</x:v>
      </x:c>
      <x:c r="I94" s="90" t="str">
        <x:v>Yes</x:v>
      </x:c>
      <x:c r="J94" s="90" t="str">
        <x:v>Recycle</x:v>
      </x:c>
      <x:c r="K94" s="97" t="str">
        <x:v>Not economical to repair; recoverable materials remain.</x:v>
      </x:c>
      <x:c r="L94" s="122" t="n">
        <x:v>3.05</x:v>
      </x:c>
      <x:c r="M94" s="95" t="n">
        <x:v>332</x:v>
      </x:c>
    </x:row>
    <x:row r="95">
      <x:c r="A95" s="90" t="str">
        <x:v>EWU-EW-091</x:v>
      </x:c>
      <x:c r="B95" s="90" t="str">
        <x:v>Battery</x:v>
      </x:c>
      <x:c r="C95" s="90" t="str">
        <x:v>Student Services</x:v>
      </x:c>
      <x:c r="D95" s="121" t="n">
        <x:v>7</x:v>
      </x:c>
      <x:c r="E95" s="90" t="str">
        <x:v>Leaking</x:v>
      </x:c>
      <x:c r="F95" s="92" t="n">
        <x:v>2.1</x:v>
      </x:c>
      <x:c r="G95" s="95" t="n">
        <x:v>4700</x:v>
      </x:c>
      <x:c r="H95" s="95" t="n">
        <x:v>4700</x:v>
      </x:c>
      <x:c r="I95" s="90" t="str">
        <x:v>Yes</x:v>
      </x:c>
      <x:c r="J95" s="90" t="str">
        <x:v>Safe Disposal</x:v>
      </x:c>
      <x:c r="K95" s="97" t="str">
        <x:v>Hazardous, leaking, or unsafe item requiring controlled handling.</x:v>
      </x:c>
      <x:c r="L95" s="122" t="n">
        <x:v>0.32</x:v>
      </x:c>
      <x:c r="M95" s="95" t="n">
        <x:v>0</x:v>
      </x:c>
    </x:row>
    <x:row r="96">
      <x:c r="A96" s="90" t="str">
        <x:v>EWU-EW-092</x:v>
      </x:c>
      <x:c r="B96" s="90" t="str">
        <x:v>Battery</x:v>
      </x:c>
      <x:c r="C96" s="90" t="str">
        <x:v>IT Services</x:v>
      </x:c>
      <x:c r="D96" s="121" t="n">
        <x:v>9</x:v>
      </x:c>
      <x:c r="E96" s="90" t="str">
        <x:v>Obsolete</x:v>
      </x:c>
      <x:c r="F96" s="92" t="n">
        <x:v>3.09</x:v>
      </x:c>
      <x:c r="G96" s="95" t="n">
        <x:v>2900</x:v>
      </x:c>
      <x:c r="H96" s="95" t="n">
        <x:v>4600</x:v>
      </x:c>
      <x:c r="I96" s="90" t="str">
        <x:v>Yes</x:v>
      </x:c>
      <x:c r="J96" s="90" t="str">
        <x:v>Recycle</x:v>
      </x:c>
      <x:c r="K96" s="97" t="str">
        <x:v>Not economical to repair; recoverable materials remain.</x:v>
      </x:c>
      <x:c r="L96" s="122" t="n">
        <x:v>3.4</x:v>
      </x:c>
      <x:c r="M96" s="95" t="n">
        <x:v>370</x:v>
      </x:c>
    </x:row>
    <x:row r="97">
      <x:c r="A97" s="90" t="str">
        <x:v>EWU-EW-093</x:v>
      </x:c>
      <x:c r="B97" s="90" t="str">
        <x:v>Battery</x:v>
      </x:c>
      <x:c r="C97" s="90" t="str">
        <x:v>Faculty Offices</x:v>
      </x:c>
      <x:c r="D97" s="121" t="n">
        <x:v>7</x:v>
      </x:c>
      <x:c r="E97" s="90" t="str">
        <x:v>Non-functional</x:v>
      </x:c>
      <x:c r="F97" s="92" t="n">
        <x:v>2.37</x:v>
      </x:c>
      <x:c r="G97" s="95" t="n">
        <x:v>4600</x:v>
      </x:c>
      <x:c r="H97" s="95" t="n">
        <x:v>5400</x:v>
      </x:c>
      <x:c r="I97" s="90" t="str">
        <x:v>Yes</x:v>
      </x:c>
      <x:c r="J97" s="90" t="str">
        <x:v>Recycle</x:v>
      </x:c>
      <x:c r="K97" s="97" t="str">
        <x:v>Not economical to repair; recoverable materials remain.</x:v>
      </x:c>
      <x:c r="L97" s="122" t="n">
        <x:v>2.61</x:v>
      </x:c>
      <x:c r="M97" s="95" t="n">
        <x:v>284</x:v>
      </x:c>
    </x:row>
    <x:row r="98">
      <x:c r="A98" s="90" t="str">
        <x:v>EWU-EW-094</x:v>
      </x:c>
      <x:c r="B98" s="90" t="str">
        <x:v>Battery</x:v>
      </x:c>
      <x:c r="C98" s="90" t="str">
        <x:v>EEE Laboratory</x:v>
      </x:c>
      <x:c r="D98" s="121" t="n">
        <x:v>8</x:v>
      </x:c>
      <x:c r="E98" s="90" t="str">
        <x:v>Obsolete</x:v>
      </x:c>
      <x:c r="F98" s="92" t="n">
        <x:v>2.41</x:v>
      </x:c>
      <x:c r="G98" s="95" t="n">
        <x:v>2700</x:v>
      </x:c>
      <x:c r="H98" s="95" t="n">
        <x:v>4500</x:v>
      </x:c>
      <x:c r="I98" s="90" t="str">
        <x:v>Yes</x:v>
      </x:c>
      <x:c r="J98" s="90" t="str">
        <x:v>Recycle</x:v>
      </x:c>
      <x:c r="K98" s="97" t="str">
        <x:v>Not economical to repair; recoverable materials remain.</x:v>
      </x:c>
      <x:c r="L98" s="122" t="n">
        <x:v>2.65</x:v>
      </x:c>
      <x:c r="M98" s="95" t="n">
        <x:v>289</x:v>
      </x:c>
    </x:row>
    <x:row r="99">
      <x:c r="A99" s="90" t="str">
        <x:v>EWU-EW-095</x:v>
      </x:c>
      <x:c r="B99" s="90" t="str">
        <x:v>Mobile Device</x:v>
      </x:c>
      <x:c r="C99" s="90" t="str">
        <x:v>Library</x:v>
      </x:c>
      <x:c r="D99" s="121" t="n">
        <x:v>5</x:v>
      </x:c>
      <x:c r="E99" s="90" t="str">
        <x:v>Good</x:v>
      </x:c>
      <x:c r="F99" s="92" t="n">
        <x:v>0.2</x:v>
      </x:c>
      <x:c r="G99" s="95" t="n">
        <x:v>0</x:v>
      </x:c>
      <x:c r="H99" s="95" t="n">
        <x:v>26000</x:v>
      </x:c>
      <x:c r="I99" s="90" t="str">
        <x:v>No</x:v>
      </x:c>
      <x:c r="J99" s="90" t="str">
        <x:v>Reuse</x:v>
      </x:c>
      <x:c r="K99" s="97" t="str">
        <x:v>Functional and suitable for reassignment after inspection.</x:v>
      </x:c>
      <x:c r="L99" s="122" t="n">
        <x:v>0.6</x:v>
      </x:c>
      <x:c r="M99" s="95" t="n">
        <x:v>18200</x:v>
      </x:c>
    </x:row>
    <x:row r="100">
      <x:c r="A100" s="90" t="str">
        <x:v>EWU-EW-096</x:v>
      </x:c>
      <x:c r="B100" s="90" t="str">
        <x:v>Mobile Device</x:v>
      </x:c>
      <x:c r="C100" s="90" t="str">
        <x:v>Faculty Offices</x:v>
      </x:c>
      <x:c r="D100" s="121" t="n">
        <x:v>7</x:v>
      </x:c>
      <x:c r="E100" s="90" t="str">
        <x:v>Major Fault</x:v>
      </x:c>
      <x:c r="F100" s="92" t="n">
        <x:v>0.22</x:v>
      </x:c>
      <x:c r="G100" s="95" t="n">
        <x:v>15200</x:v>
      </x:c>
      <x:c r="H100" s="95" t="n">
        <x:v>23800</x:v>
      </x:c>
      <x:c r="I100" s="90" t="str">
        <x:v>Yes</x:v>
      </x:c>
      <x:c r="J100" s="90" t="str">
        <x:v>Recycle</x:v>
      </x:c>
      <x:c r="K100" s="97" t="str">
        <x:v>Not economical to repair; recoverable materials remain.</x:v>
      </x:c>
      <x:c r="L100" s="122" t="n">
        <x:v>0.24</x:v>
      </x:c>
      <x:c r="M100" s="95" t="n">
        <x:v>26</x:v>
      </x:c>
    </x:row>
    <x:row r="101">
      <x:c r="A101" s="90" t="str">
        <x:v>EWU-EW-097</x:v>
      </x:c>
      <x:c r="B101" s="90" t="str">
        <x:v>Mobile Device</x:v>
      </x:c>
      <x:c r="C101" s="90" t="str">
        <x:v>CSE Laboratory</x:v>
      </x:c>
      <x:c r="D101" s="121" t="n">
        <x:v>8</x:v>
      </x:c>
      <x:c r="E101" s="90" t="str">
        <x:v>Major Fault</x:v>
      </x:c>
      <x:c r="F101" s="92" t="n">
        <x:v>0.14</x:v>
      </x:c>
      <x:c r="G101" s="95" t="n">
        <x:v>15700</x:v>
      </x:c>
      <x:c r="H101" s="95" t="n">
        <x:v>23400</x:v>
      </x:c>
      <x:c r="I101" s="90" t="str">
        <x:v>Yes</x:v>
      </x:c>
      <x:c r="J101" s="90" t="str">
        <x:v>Recycle</x:v>
      </x:c>
      <x:c r="K101" s="97" t="str">
        <x:v>Not economical to repair; recoverable materials remain.</x:v>
      </x:c>
      <x:c r="L101" s="122" t="n">
        <x:v>0.15</x:v>
      </x:c>
      <x:c r="M101" s="95" t="n">
        <x:v>16</x:v>
      </x:c>
    </x:row>
    <x:row r="102">
      <x:c r="A102" s="90" t="str">
        <x:v>EWU-EW-098</x:v>
      </x:c>
      <x:c r="B102" s="90" t="str">
        <x:v>Mobile Device</x:v>
      </x:c>
      <x:c r="C102" s="90" t="str">
        <x:v>CSE Laboratory</x:v>
      </x:c>
      <x:c r="D102" s="121" t="n">
        <x:v>3</x:v>
      </x:c>
      <x:c r="E102" s="90" t="str">
        <x:v>Good</x:v>
      </x:c>
      <x:c r="F102" s="92" t="n">
        <x:v>0.21</x:v>
      </x:c>
      <x:c r="G102" s="95" t="n">
        <x:v>0</x:v>
      </x:c>
      <x:c r="H102" s="95" t="n">
        <x:v>23800</x:v>
      </x:c>
      <x:c r="I102" s="90" t="str">
        <x:v>No</x:v>
      </x:c>
      <x:c r="J102" s="90" t="str">
        <x:v>Reuse</x:v>
      </x:c>
      <x:c r="K102" s="97" t="str">
        <x:v>Functional and suitable for reassignment after inspection.</x:v>
      </x:c>
      <x:c r="L102" s="122" t="n">
        <x:v>0.63</x:v>
      </x:c>
      <x:c r="M102" s="95" t="n">
        <x:v>16660</x:v>
      </x:c>
    </x:row>
    <x:row r="103">
      <x:c r="A103" s="90" t="str">
        <x:v>EWU-EW-099</x:v>
      </x:c>
      <x:c r="B103" s="90" t="str">
        <x:v>Network Device</x:v>
      </x:c>
      <x:c r="C103" s="90" t="str">
        <x:v>Library</x:v>
      </x:c>
      <x:c r="D103" s="121" t="n">
        <x:v>5</x:v>
      </x:c>
      <x:c r="E103" s="90" t="str">
        <x:v>Leaking</x:v>
      </x:c>
      <x:c r="F103" s="92" t="n">
        <x:v>1.59</x:v>
      </x:c>
      <x:c r="G103" s="95" t="n">
        <x:v>8600</x:v>
      </x:c>
      <x:c r="H103" s="95" t="n">
        <x:v>9000</x:v>
      </x:c>
      <x:c r="I103" s="90" t="str">
        <x:v>No</x:v>
      </x:c>
      <x:c r="J103" s="90" t="str">
        <x:v>Safe Disposal</x:v>
      </x:c>
      <x:c r="K103" s="97" t="str">
        <x:v>Hazardous, leaking, or unsafe item requiring controlled handling.</x:v>
      </x:c>
      <x:c r="L103" s="122" t="n">
        <x:v>0.24</x:v>
      </x:c>
      <x:c r="M103" s="95" t="n">
        <x:v>0</x:v>
      </x:c>
    </x:row>
    <x:row r="104">
      <x:c r="A104" s="90" t="str">
        <x:v>EWU-EW-100</x:v>
      </x:c>
      <x:c r="B104" s="90" t="str">
        <x:v>Network Device</x:v>
      </x:c>
      <x:c r="C104" s="90" t="str">
        <x:v>EEE Laboratory</x:v>
      </x:c>
      <x:c r="D104" s="121" t="n">
        <x:v>6</x:v>
      </x:c>
      <x:c r="E104" s="90" t="str">
        <x:v>Fair</x:v>
      </x:c>
      <x:c r="F104" s="92" t="n">
        <x:v>1.57</x:v>
      </x:c>
      <x:c r="G104" s="95" t="n">
        <x:v>1900</x:v>
      </x:c>
      <x:c r="H104" s="95" t="n">
        <x:v>7700</x:v>
      </x:c>
      <x:c r="I104" s="90" t="str">
        <x:v>No</x:v>
      </x:c>
      <x:c r="J104" s="90" t="str">
        <x:v>Repair</x:v>
      </x:c>
      <x:c r="K104" s="97" t="str">
        <x:v>Repair cost is below the 40% replacement-cost threshold.</x:v>
      </x:c>
      <x:c r="L104" s="122" t="n">
        <x:v>3.45</x:v>
      </x:c>
      <x:c r="M104" s="95" t="n">
        <x:v>5800</x:v>
      </x:c>
    </x:row>
  </x:sheetData>
  <x:mergeCells>
    <x:mergeCell ref="A1:M1"/>
    <x:mergeCell ref="A2:M2"/>
  </x:mergeCells>
  <x:conditionalFormatting sqref="J5:J104">
    <x:cfRule type="expression" dxfId="0" priority="1">
      <x:formula>J5="Reuse"</x:formula>
    </x:cfRule>
    <x:cfRule type="expression" dxfId="1" priority="2">
      <x:formula>J5="Repair"</x:formula>
    </x:cfRule>
    <x:cfRule type="expression" dxfId="2" priority="3">
      <x:formula>J5="Recycle"</x:formula>
    </x:cfRule>
    <x:cfRule type="expression" dxfId="3" priority="4">
      <x:formula>J5="Safe Disposal"</x:formula>
    </x:cfRule>
  </x:conditionalFormatting>
  <x:dataValidations count="3">
    <x:dataValidation type="list" sqref="E5:E104">
      <x:formula1>"Good,Fair,Minor Fault,Major Fault,Obsolete,Non-functional,Damaged/Hazardous,Leaking,Unsafe"</x:formula1>
    </x:dataValidation>
    <x:dataValidation type="list" sqref="I5:I104">
      <x:formula1>"Yes,No"</x:formula1>
    </x:dataValidation>
    <x:dataValidation type="list" sqref="J5:J104">
      <x:formula1>"Reuse,Repair,Recycle,Safe Disposal"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bc88b7588040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3" hidden="0" customWidth="1"/>
    <x:col min="4" max="4" width="15" hidden="0" customWidth="1"/>
    <x:col min="5" max="5" width="30" hidden="0" customWidth="1"/>
    <x:col min="6" max="6" width="22" hidden="0" customWidth="1"/>
  </x:cols>
  <x:sheetData>
    <x:row r="1" ht="30" customHeight="1">
      <x:c r="A1" s="5" t="str">
        <x:v>Formula-Driven Summary of the Simulated E-Waste Inventory</x:v>
      </x:c>
      <x:c r="B1" s="5"/>
      <x:c r="C1" s="5"/>
      <x:c r="D1" s="5"/>
      <x:c r="E1" s="5"/>
      <x:c r="F1" s="5"/>
    </x:row>
    <x:row r="2" ht="32" customHeight="1">
      <x:c r="A2" s="13" t="str">
        <x:v>Counts, weights, CO2e benefits, and financial estimates below are calculated from the Inventory sheet.</x:v>
      </x:c>
      <x:c r="B2" s="13"/>
      <x:c r="C2" s="13"/>
      <x:c r="D2" s="13"/>
      <x:c r="E2" s="13"/>
      <x:c r="F2" s="13"/>
    </x:row>
    <x:row r="4">
      <x:c r="A4" s="133" t="str">
        <x:v>Recommended Action</x:v>
      </x:c>
      <x:c r="B4" s="134" t="str">
        <x:v>Items</x:v>
      </x:c>
      <x:c r="C4" s="134" t="str">
        <x:v>Share</x:v>
      </x:c>
      <x:c r="D4" s="134" t="str">
        <x:v>Weight (kg)</x:v>
      </x:c>
      <x:c r="E4" s="134" t="str">
        <x:v>CO2e Benefit (kg)</x:v>
      </x:c>
      <x:c r="F4" s="135" t="str">
        <x:v>Direct Saving (BDT)</x:v>
      </x:c>
    </x:row>
    <x:row r="5">
      <x:c r="A5" s="57" t="str">
        <x:v>Reuse</x:v>
      </x:c>
      <x:c r="B5" s="58" t="n">
        <x:f>COUNTIF(Inventory!$J$5:$J$104,A5)</x:f>
        <x:v>28</x:v>
      </x:c>
      <x:c r="C5" s="125" t="n">
        <x:f>B5/$B$9</x:f>
        <x:v>0.28</x:v>
      </x:c>
      <x:c r="D5" s="28" t="n">
        <x:f>SUMIF(Inventory!$J$5:$J$104,A5,Inventory!$F$5:$F$104)</x:f>
        <x:v>102.88000000000001</x:v>
      </x:c>
      <x:c r="E5" s="28" t="n">
        <x:f>SUMIF(Inventory!$J$5:$J$104,A5,Inventory!$L$5:$L$104)</x:f>
        <x:v>308.6400000000001</x:v>
      </x:c>
      <x:c r="F5" s="136" t="n">
        <x:f>SUMIF(Inventory!$J$5:$J$104,A5,Inventory!$M$5:$M$104)</x:f>
        <x:v>542918</x:v>
      </x:c>
    </x:row>
    <x:row r="6">
      <x:c r="A6" s="57" t="str">
        <x:v>Repair</x:v>
      </x:c>
      <x:c r="B6" s="58" t="n">
        <x:f>COUNTIF(Inventory!$J$5:$J$104,A6)</x:f>
        <x:v>24</x:v>
      </x:c>
      <x:c r="C6" s="125" t="n">
        <x:f>B6/$B$9</x:f>
        <x:v>0.24</x:v>
      </x:c>
      <x:c r="D6" s="28" t="n">
        <x:f>SUMIF(Inventory!$J$5:$J$104,A6,Inventory!$F$5:$F$104)</x:f>
        <x:v>132.59</x:v>
      </x:c>
      <x:c r="E6" s="28" t="n">
        <x:f>SUMIF(Inventory!$J$5:$J$104,A6,Inventory!$L$5:$L$104)</x:f>
        <x:v>291.7</x:v>
      </x:c>
      <x:c r="F6" s="136" t="n">
        <x:f>SUMIF(Inventory!$J$5:$J$104,A6,Inventory!$M$5:$M$104)</x:f>
        <x:v>592500</x:v>
      </x:c>
    </x:row>
    <x:row r="7">
      <x:c r="A7" s="57" t="str">
        <x:v>Recycle</x:v>
      </x:c>
      <x:c r="B7" s="58" t="n">
        <x:f>COUNTIF(Inventory!$J$5:$J$104,A7)</x:f>
        <x:v>38</x:v>
      </x:c>
      <x:c r="C7" s="125" t="n">
        <x:f>B7/$B$9</x:f>
        <x:v>0.38</x:v>
      </x:c>
      <x:c r="D7" s="28" t="n">
        <x:f>SUMIF(Inventory!$J$5:$J$104,A7,Inventory!$F$5:$F$104)</x:f>
        <x:v>169.91000000000005</x:v>
      </x:c>
      <x:c r="E7" s="28" t="n">
        <x:f>SUMIF(Inventory!$J$5:$J$104,A7,Inventory!$L$5:$L$104)</x:f>
        <x:v>186.94000000000005</x:v>
      </x:c>
      <x:c r="F7" s="136" t="n">
        <x:f>SUMIF(Inventory!$J$5:$J$104,A7,Inventory!$M$5:$M$104)</x:f>
        <x:v>20376</x:v>
      </x:c>
    </x:row>
    <x:row r="8">
      <x:c r="A8" s="57" t="str">
        <x:v>Safe Disposal</x:v>
      </x:c>
      <x:c r="B8" s="58" t="n">
        <x:f>COUNTIF(Inventory!$J$5:$J$104,A8)</x:f>
        <x:v>10</x:v>
      </x:c>
      <x:c r="C8" s="125" t="n">
        <x:f>B8/$B$9</x:f>
        <x:v>0.1</x:v>
      </x:c>
      <x:c r="D8" s="28" t="n">
        <x:f>SUMIF(Inventory!$J$5:$J$104,A8,Inventory!$F$5:$F$104)</x:f>
        <x:v>50.14000000000001</x:v>
      </x:c>
      <x:c r="E8" s="28" t="n">
        <x:f>SUMIF(Inventory!$J$5:$J$104,A8,Inventory!$L$5:$L$104)</x:f>
        <x:v>7.5200000000000005</x:v>
      </x:c>
      <x:c r="F8" s="136" t="n">
        <x:f>SUMIF(Inventory!$J$5:$J$104,A8,Inventory!$M$5:$M$104)</x:f>
        <x:v>0</x:v>
      </x:c>
    </x:row>
    <x:row r="9">
      <x:c r="A9" s="65" t="str">
        <x:v>Total</x:v>
      </x:c>
      <x:c r="B9" s="37" t="n">
        <x:f>COUNTA(Inventory!$A$5:$A$104)</x:f>
        <x:v>100</x:v>
      </x:c>
      <x:c r="C9" s="126" t="n">
        <x:f>SUM(C5:C8)</x:f>
        <x:v>1</x:v>
      </x:c>
      <x:c r="D9" s="129" t="n">
        <x:f>SUM(Inventory!$F$5:$F$104)</x:f>
        <x:v>455.52000000000015</x:v>
      </x:c>
      <x:c r="E9" s="129" t="n">
        <x:f>SUM(Inventory!$L$5:$L$104)</x:f>
        <x:v>794.8000000000001</x:v>
      </x:c>
      <x:c r="F9" s="137" t="n">
        <x:f>SUM(Inventory!$M$5:$M$104)</x:f>
        <x:v>1155794</x:v>
      </x:c>
    </x:row>
    <x:row r="10">
      <x:c r="A10" s="57"/>
      <x:c r="B10" s="58"/>
      <x:c r="C10" s="58"/>
      <x:c r="D10" s="58"/>
      <x:c r="E10" s="58"/>
      <x:c r="F10" s="59"/>
    </x:row>
    <x:row r="11">
      <x:c r="A11" s="57"/>
      <x:c r="B11" s="58"/>
      <x:c r="C11" s="58"/>
      <x:c r="D11" s="58"/>
      <x:c r="E11" s="58"/>
      <x:c r="F11" s="59"/>
    </x:row>
    <x:row r="12">
      <x:c r="A12" s="62" t="str">
        <x:v>Category</x:v>
      </x:c>
      <x:c r="B12" s="22" t="str">
        <x:v>Items</x:v>
      </x:c>
      <x:c r="C12" s="22" t="str">
        <x:v>Weight (kg)</x:v>
      </x:c>
      <x:c r="D12" s="58"/>
      <x:c r="E12" s="22" t="str">
        <x:v>KPI</x:v>
      </x:c>
      <x:c r="F12" s="63" t="str">
        <x:v>Calculated Value</x:v>
      </x:c>
    </x:row>
    <x:row r="13">
      <x:c r="A13" s="57" t="str">
        <x:v>Desktop Computer</x:v>
      </x:c>
      <x:c r="B13" s="58" t="n">
        <x:f>COUNTIF(Inventory!$B$5:$B$104,A13)</x:f>
        <x:v>18</x:v>
      </x:c>
      <x:c r="C13" s="28" t="n">
        <x:f>SUMIF(Inventory!$B$5:$B$104,A13,Inventory!$F$5:$F$104)</x:f>
        <x:v>158.68999999999997</x:v>
      </x:c>
      <x:c r="D13" s="58"/>
      <x:c r="E13" s="58" t="str">
        <x:v>Total Items</x:v>
      </x:c>
      <x:c r="F13" s="138" t="n">
        <x:f>B9</x:f>
        <x:v>100</x:v>
      </x:c>
    </x:row>
    <x:row r="14">
      <x:c r="A14" s="57" t="str">
        <x:v>Monitor</x:v>
      </x:c>
      <x:c r="B14" s="58" t="n">
        <x:f>COUNTIF(Inventory!$B$5:$B$104,A14)</x:f>
        <x:v>16</x:v>
      </x:c>
      <x:c r="C14" s="28" t="n">
        <x:f>SUMIF(Inventory!$B$5:$B$104,A14,Inventory!$F$5:$F$104)</x:f>
        <x:v>86.84</x:v>
      </x:c>
      <x:c r="D14" s="58"/>
      <x:c r="E14" s="58" t="str">
        <x:v>Total Weight (kg)</x:v>
      </x:c>
      <x:c r="F14" s="64" t="n">
        <x:f>D9</x:f>
        <x:v>455.52000000000015</x:v>
      </x:c>
    </x:row>
    <x:row r="15">
      <x:c r="A15" s="57" t="str">
        <x:v>Laptop</x:v>
      </x:c>
      <x:c r="B15" s="58" t="n">
        <x:f>COUNTIF(Inventory!$B$5:$B$104,A15)</x:f>
        <x:v>15</x:v>
      </x:c>
      <x:c r="C15" s="28" t="n">
        <x:f>SUMIF(Inventory!$B$5:$B$104,A15,Inventory!$F$5:$F$104)</x:f>
        <x:v>32.33</x:v>
      </x:c>
      <x:c r="D15" s="58"/>
      <x:c r="E15" s="58" t="str">
        <x:v>Circular-Pathway Items</x:v>
      </x:c>
      <x:c r="F15" s="138" t="n">
        <x:f>SUM(B5:B7)</x:f>
        <x:v>90</x:v>
      </x:c>
    </x:row>
    <x:row r="16">
      <x:c r="A16" s="57" t="str">
        <x:v>Keyboard</x:v>
      </x:c>
      <x:c r="B16" s="58" t="n">
        <x:f>COUNTIF(Inventory!$B$5:$B$104,A16)</x:f>
        <x:v>12</x:v>
      </x:c>
      <x:c r="C16" s="28" t="n">
        <x:f>SUMIF(Inventory!$B$5:$B$104,A16,Inventory!$F$5:$F$104)</x:f>
        <x:v>8.169999999999998</x:v>
      </x:c>
      <x:c r="D16" s="58"/>
      <x:c r="E16" s="58" t="str">
        <x:v>Circular-Pathway Rate</x:v>
      </x:c>
      <x:c r="F16" s="139" t="n">
        <x:f>SUM(B5:B7)/B9</x:f>
        <x:v>0.9</x:v>
      </x:c>
    </x:row>
    <x:row r="17">
      <x:c r="A17" s="57" t="str">
        <x:v>Mouse</x:v>
      </x:c>
      <x:c r="B17" s="58" t="n">
        <x:f>COUNTIF(Inventory!$B$5:$B$104,A17)</x:f>
        <x:v>10</x:v>
      </x:c>
      <x:c r="C17" s="28" t="n">
        <x:f>SUMIF(Inventory!$B$5:$B$104,A17,Inventory!$F$5:$F$104)</x:f>
        <x:v>1.5999999999999999</x:v>
      </x:c>
      <x:c r="D17" s="58"/>
      <x:c r="E17" s="58" t="str">
        <x:v>Weight Diversion Rate</x:v>
      </x:c>
      <x:c r="F17" s="139" t="n">
        <x:f>(D9-D8)/D9</x:f>
        <x:v>0.8899279943800492</x:v>
      </x:c>
    </x:row>
    <x:row r="18">
      <x:c r="A18" s="57" t="str">
        <x:v>Printer</x:v>
      </x:c>
      <x:c r="B18" s="58" t="n">
        <x:f>COUNTIF(Inventory!$B$5:$B$104,A18)</x:f>
        <x:v>8</x:v>
      </x:c>
      <x:c r="C18" s="28" t="n">
        <x:f>SUMIF(Inventory!$B$5:$B$104,A18,Inventory!$F$5:$F$104)</x:f>
        <x:v>89.31</x:v>
      </x:c>
      <x:c r="D18" s="58"/>
      <x:c r="E18" s="58" t="str">
        <x:v>Safe Disposal Weight (kg)</x:v>
      </x:c>
      <x:c r="F18" s="64" t="n">
        <x:f>D8</x:f>
        <x:v>50.14000000000001</x:v>
      </x:c>
    </x:row>
    <x:row r="19">
      <x:c r="A19" s="57" t="str">
        <x:v>Battery</x:v>
      </x:c>
      <x:c r="B19" s="58" t="n">
        <x:f>COUNTIF(Inventory!$B$5:$B$104,A19)</x:f>
        <x:v>8</x:v>
      </x:c>
      <x:c r="C19" s="28" t="n">
        <x:f>SUMIF(Inventory!$B$5:$B$104,A19,Inventory!$F$5:$F$104)</x:f>
        <x:v>20.13</x:v>
      </x:c>
      <x:c r="D19" s="58"/>
      <x:c r="E19" s="58" t="str">
        <x:v>Estimated CO2e Benefit (kg)</x:v>
      </x:c>
      <x:c r="F19" s="64" t="n">
        <x:f>E9</x:f>
        <x:v>794.8000000000001</x:v>
      </x:c>
    </x:row>
    <x:row r="20">
      <x:c r="A20" s="57" t="str">
        <x:v>UPS</x:v>
      </x:c>
      <x:c r="B20" s="58" t="n">
        <x:f>COUNTIF(Inventory!$B$5:$B$104,A20)</x:f>
        <x:v>7</x:v>
      </x:c>
      <x:c r="C20" s="28" t="n">
        <x:f>SUMIF(Inventory!$B$5:$B$104,A20,Inventory!$F$5:$F$104)</x:f>
        <x:v>54.52</x:v>
      </x:c>
      <x:c r="D20" s="58"/>
      <x:c r="E20" s="58" t="str">
        <x:v>Estimated Direct Saving (BDT)</x:v>
      </x:c>
      <x:c r="F20" s="136" t="n">
        <x:f>F9</x:f>
        <x:v>1155794</x:v>
      </x:c>
    </x:row>
    <x:row r="21">
      <x:c r="A21" s="57" t="str">
        <x:v>Mobile Device</x:v>
      </x:c>
      <x:c r="B21" s="58" t="n">
        <x:f>COUNTIF(Inventory!$B$5:$B$104,A21)</x:f>
        <x:v>4</x:v>
      </x:c>
      <x:c r="C21" s="28" t="n">
        <x:f>SUMIF(Inventory!$B$5:$B$104,A21,Inventory!$F$5:$F$104)</x:f>
        <x:v>0.77</x:v>
      </x:c>
      <x:c r="D21" s="58"/>
      <x:c r="E21" s="58" t="str">
        <x:v>Total Replacement Value (BDT)</x:v>
      </x:c>
      <x:c r="F21" s="136" t="n">
        <x:f>SUM(Inventory!$H$5:$H$104)</x:f>
        <x:v>2723400</x:v>
      </x:c>
    </x:row>
    <x:row r="22">
      <x:c r="A22" s="57" t="str">
        <x:v>Network Device</x:v>
      </x:c>
      <x:c r="B22" s="58" t="n">
        <x:f>COUNTIF(Inventory!$B$5:$B$104,A22)</x:f>
        <x:v>2</x:v>
      </x:c>
      <x:c r="C22" s="28" t="n">
        <x:f>SUMIF(Inventory!$B$5:$B$104,A22,Inventory!$F$5:$F$104)</x:f>
        <x:v>3.16</x:v>
      </x:c>
      <x:c r="D22" s="58"/>
      <x:c r="E22" s="58"/>
      <x:c r="F22" s="59"/>
    </x:row>
    <x:row r="23">
      <x:c r="A23" s="140" t="str">
        <x:v>Total</x:v>
      </x:c>
      <x:c r="B23" s="141" t="n">
        <x:f>SUM(B13:B22)</x:f>
        <x:v>100</x:v>
      </x:c>
      <x:c r="C23" s="142" t="n">
        <x:f>SUM(C13:C22)</x:f>
        <x:v>455.52</x:v>
      </x:c>
      <x:c r="D23" s="70"/>
      <x:c r="E23" s="70"/>
      <x:c r="F23" s="71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5" t="str">
        <x:v>East West University E-Waste Decision-Support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4" customHeight="1">
      <x:c r="A2" s="13" t="str">
        <x:v>SIMULATED ACADEMIC DATA — all KPIs and charts are linked to the workbook’s Inventory and Summary sheets.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153" t="str">
        <x:v>Total Items</x:v>
      </x:c>
      <x:c r="B4" s="153"/>
      <x:c r="C4" s="153"/>
      <x:c r="D4" s="153" t="str">
        <x:v>Total Weight</x:v>
      </x:c>
      <x:c r="E4" s="153"/>
      <x:c r="F4" s="153"/>
      <x:c r="G4" s="153" t="str">
        <x:v>Circular Rate</x:v>
      </x:c>
      <x:c r="H4" s="153"/>
      <x:c r="I4" s="153"/>
      <x:c r="J4" s="153" t="str">
        <x:v>Diversion Rate</x:v>
      </x:c>
      <x:c r="K4" s="153"/>
      <x:c r="L4" s="153"/>
    </x:row>
    <x:row r="5">
      <x:c r="A5" s="211" t="n">
        <x:f>Summary!F13</x:f>
        <x:v>100</x:v>
      </x:c>
      <x:c r="B5" s="212"/>
      <x:c r="C5" s="213"/>
      <x:c r="D5" s="229" t="n">
        <x:f>Summary!F14</x:f>
        <x:v>455.52000000000015</x:v>
      </x:c>
      <x:c r="E5" s="230"/>
      <x:c r="F5" s="231"/>
      <x:c r="G5" s="247" t="n">
        <x:f>Summary!F16</x:f>
        <x:v>0.9</x:v>
      </x:c>
      <x:c r="H5" s="248"/>
      <x:c r="I5" s="249"/>
      <x:c r="J5" s="247" t="n">
        <x:f>Summary!F17</x:f>
        <x:v>0.8899279943800492</x:v>
      </x:c>
      <x:c r="K5" s="248"/>
      <x:c r="L5" s="249"/>
    </x:row>
    <x:row r="6">
      <x:c r="A6" s="214"/>
      <x:c r="B6" s="215"/>
      <x:c r="C6" s="216"/>
      <x:c r="D6" s="232"/>
      <x:c r="E6" s="233"/>
      <x:c r="F6" s="234"/>
      <x:c r="G6" s="250"/>
      <x:c r="H6" s="251"/>
      <x:c r="I6" s="252"/>
      <x:c r="J6" s="250"/>
      <x:c r="K6" s="251"/>
      <x:c r="L6" s="252"/>
    </x:row>
    <x:row r="7">
      <x:c r="A7" s="217"/>
      <x:c r="B7" s="218"/>
      <x:c r="C7" s="219"/>
      <x:c r="D7" s="235"/>
      <x:c r="E7" s="236"/>
      <x:c r="F7" s="237"/>
      <x:c r="G7" s="253"/>
      <x:c r="H7" s="254"/>
      <x:c r="I7" s="255"/>
      <x:c r="J7" s="253"/>
      <x:c r="K7" s="254"/>
      <x:c r="L7" s="255"/>
    </x:row>
    <x:row r="9">
      <x:c r="A9" s="153" t="str">
        <x:v>CO2e Benefit</x:v>
      </x:c>
      <x:c r="B9" s="153"/>
      <x:c r="C9" s="153"/>
      <x:c r="D9" s="153" t="str">
        <x:v>Direct Saving</x:v>
      </x:c>
      <x:c r="E9" s="153"/>
      <x:c r="F9" s="153"/>
      <x:c r="G9" s="153" t="str">
        <x:v>Safe Disposal Weight</x:v>
      </x:c>
      <x:c r="H9" s="153"/>
      <x:c r="I9" s="153"/>
      <x:c r="J9" s="153" t="str">
        <x:v>Replacement Value</x:v>
      </x:c>
      <x:c r="K9" s="153"/>
      <x:c r="L9" s="153"/>
    </x:row>
    <x:row r="10">
      <x:c r="A10" s="229" t="n">
        <x:f>Summary!F19</x:f>
        <x:v>794.8000000000001</x:v>
      </x:c>
      <x:c r="B10" s="230"/>
      <x:c r="C10" s="231"/>
      <x:c r="D10" s="265" t="n">
        <x:f>Summary!F20</x:f>
        <x:v>1155794</x:v>
      </x:c>
      <x:c r="E10" s="266"/>
      <x:c r="F10" s="267"/>
      <x:c r="G10" s="229" t="n">
        <x:f>Summary!F18</x:f>
        <x:v>50.14000000000001</x:v>
      </x:c>
      <x:c r="H10" s="230"/>
      <x:c r="I10" s="231"/>
      <x:c r="J10" s="265" t="n">
        <x:f>Summary!F21</x:f>
        <x:v>2723400</x:v>
      </x:c>
      <x:c r="K10" s="266"/>
      <x:c r="L10" s="267"/>
    </x:row>
    <x:row r="11">
      <x:c r="A11" s="232"/>
      <x:c r="B11" s="233"/>
      <x:c r="C11" s="234"/>
      <x:c r="D11" s="268"/>
      <x:c r="E11" s="269"/>
      <x:c r="F11" s="270"/>
      <x:c r="G11" s="232"/>
      <x:c r="H11" s="233"/>
      <x:c r="I11" s="234"/>
      <x:c r="J11" s="268"/>
      <x:c r="K11" s="269"/>
      <x:c r="L11" s="270"/>
    </x:row>
    <x:row r="12">
      <x:c r="A12" s="235"/>
      <x:c r="B12" s="236"/>
      <x:c r="C12" s="237"/>
      <x:c r="D12" s="271"/>
      <x:c r="E12" s="272"/>
      <x:c r="F12" s="273"/>
      <x:c r="G12" s="235"/>
      <x:c r="H12" s="236"/>
      <x:c r="I12" s="237"/>
      <x:c r="J12" s="271"/>
      <x:c r="K12" s="272"/>
      <x:c r="L12" s="273"/>
    </x:row>
    <x:row r="31">
      <x:c r="A31" s="133" t="str">
        <x:v>Action</x:v>
      </x:c>
      <x:c r="B31" s="134" t="str">
        <x:v>Items</x:v>
      </x:c>
      <x:c r="C31" s="134"/>
      <x:c r="D31" s="134" t="str">
        <x:v>Action</x:v>
      </x:c>
      <x:c r="E31" s="134" t="str">
        <x:v>Weight (kg)</x:v>
      </x:c>
      <x:c r="F31" s="135"/>
      <x:c r="G31" s="134" t="str">
        <x:v>Category</x:v>
      </x:c>
      <x:c r="H31" s="135" t="str">
        <x:v>Items</x:v>
      </x:c>
    </x:row>
    <x:row r="32">
      <x:c r="A32" s="57" t="str">
        <x:f>Summary!A5</x:f>
        <x:v>Reuse</x:v>
      </x:c>
      <x:c r="B32" s="58" t="n">
        <x:f>Summary!B5</x:f>
        <x:v>28</x:v>
      </x:c>
      <x:c r="C32" s="58"/>
      <x:c r="D32" s="58" t="str">
        <x:f>Summary!A5</x:f>
        <x:v>Reuse</x:v>
      </x:c>
      <x:c r="E32" s="28" t="n">
        <x:f>Summary!D5</x:f>
        <x:v>102.88000000000001</x:v>
      </x:c>
      <x:c r="F32" s="59"/>
      <x:c r="G32" s="58" t="str">
        <x:f>Summary!A13</x:f>
        <x:v>Desktop Computer</x:v>
      </x:c>
      <x:c r="H32" s="59" t="n">
        <x:f>Summary!B13</x:f>
        <x:v>18</x:v>
      </x:c>
    </x:row>
    <x:row r="33">
      <x:c r="A33" s="57" t="str">
        <x:f>Summary!A6</x:f>
        <x:v>Repair</x:v>
      </x:c>
      <x:c r="B33" s="58" t="n">
        <x:f>Summary!B6</x:f>
        <x:v>24</x:v>
      </x:c>
      <x:c r="C33" s="58"/>
      <x:c r="D33" s="58" t="str">
        <x:f>Summary!A6</x:f>
        <x:v>Repair</x:v>
      </x:c>
      <x:c r="E33" s="28" t="n">
        <x:f>Summary!D6</x:f>
        <x:v>132.59</x:v>
      </x:c>
      <x:c r="F33" s="59"/>
      <x:c r="G33" s="58" t="str">
        <x:f>Summary!A14</x:f>
        <x:v>Monitor</x:v>
      </x:c>
      <x:c r="H33" s="59" t="n">
        <x:f>Summary!B14</x:f>
        <x:v>16</x:v>
      </x:c>
    </x:row>
    <x:row r="34">
      <x:c r="A34" s="57" t="str">
        <x:f>Summary!A7</x:f>
        <x:v>Recycle</x:v>
      </x:c>
      <x:c r="B34" s="58" t="n">
        <x:f>Summary!B7</x:f>
        <x:v>38</x:v>
      </x:c>
      <x:c r="C34" s="58"/>
      <x:c r="D34" s="58" t="str">
        <x:f>Summary!A7</x:f>
        <x:v>Recycle</x:v>
      </x:c>
      <x:c r="E34" s="28" t="n">
        <x:f>Summary!D7</x:f>
        <x:v>169.91000000000005</x:v>
      </x:c>
      <x:c r="F34" s="59"/>
      <x:c r="G34" s="58" t="str">
        <x:f>Summary!A15</x:f>
        <x:v>Laptop</x:v>
      </x:c>
      <x:c r="H34" s="59" t="n">
        <x:f>Summary!B15</x:f>
        <x:v>15</x:v>
      </x:c>
    </x:row>
    <x:row r="35">
      <x:c r="A35" s="57" t="str">
        <x:f>Summary!A8</x:f>
        <x:v>Safe Disposal</x:v>
      </x:c>
      <x:c r="B35" s="58" t="n">
        <x:f>Summary!B8</x:f>
        <x:v>10</x:v>
      </x:c>
      <x:c r="C35" s="58"/>
      <x:c r="D35" s="58" t="str">
        <x:f>Summary!A8</x:f>
        <x:v>Safe Disposal</x:v>
      </x:c>
      <x:c r="E35" s="28" t="n">
        <x:f>Summary!D8</x:f>
        <x:v>50.14000000000001</x:v>
      </x:c>
      <x:c r="F35" s="59"/>
      <x:c r="G35" s="58" t="str">
        <x:f>Summary!A16</x:f>
        <x:v>Keyboard</x:v>
      </x:c>
      <x:c r="H35" s="59" t="n">
        <x:f>Summary!B16</x:f>
        <x:v>12</x:v>
      </x:c>
    </x:row>
    <x:row r="36">
      <x:c r="A36" s="57"/>
      <x:c r="B36" s="58"/>
      <x:c r="C36" s="58"/>
      <x:c r="D36" s="58"/>
      <x:c r="E36" s="58"/>
      <x:c r="F36" s="59"/>
      <x:c r="G36" s="58" t="str">
        <x:f>Summary!A17</x:f>
        <x:v>Mouse</x:v>
      </x:c>
      <x:c r="H36" s="59" t="n">
        <x:f>Summary!B17</x:f>
        <x:v>10</x:v>
      </x:c>
    </x:row>
    <x:row r="37">
      <x:c r="A37" s="57"/>
      <x:c r="B37" s="58"/>
      <x:c r="C37" s="58"/>
      <x:c r="D37" s="58"/>
      <x:c r="E37" s="58"/>
      <x:c r="F37" s="59"/>
      <x:c r="G37" s="58" t="str">
        <x:f>Summary!A18</x:f>
        <x:v>Printer</x:v>
      </x:c>
      <x:c r="H37" s="59" t="n">
        <x:f>Summary!B18</x:f>
        <x:v>8</x:v>
      </x:c>
    </x:row>
    <x:row r="38">
      <x:c r="A38" s="57"/>
      <x:c r="B38" s="58"/>
      <x:c r="C38" s="58"/>
      <x:c r="D38" s="58"/>
      <x:c r="E38" s="58"/>
      <x:c r="F38" s="59"/>
      <x:c r="G38" s="58" t="str">
        <x:f>Summary!A19</x:f>
        <x:v>Battery</x:v>
      </x:c>
      <x:c r="H38" s="59" t="n">
        <x:f>Summary!B19</x:f>
        <x:v>8</x:v>
      </x:c>
    </x:row>
    <x:row r="39">
      <x:c r="A39" s="57"/>
      <x:c r="B39" s="58"/>
      <x:c r="C39" s="58"/>
      <x:c r="D39" s="58"/>
      <x:c r="E39" s="58"/>
      <x:c r="F39" s="59"/>
      <x:c r="G39" s="58" t="str">
        <x:f>Summary!A20</x:f>
        <x:v>UPS</x:v>
      </x:c>
      <x:c r="H39" s="59" t="n">
        <x:f>Summary!B20</x:f>
        <x:v>7</x:v>
      </x:c>
    </x:row>
    <x:row r="40">
      <x:c r="A40" s="57"/>
      <x:c r="B40" s="58"/>
      <x:c r="C40" s="58"/>
      <x:c r="D40" s="58"/>
      <x:c r="E40" s="58"/>
      <x:c r="F40" s="59"/>
      <x:c r="G40" s="58" t="str">
        <x:f>Summary!A21</x:f>
        <x:v>Mobile Device</x:v>
      </x:c>
      <x:c r="H40" s="59" t="n">
        <x:f>Summary!B21</x:f>
        <x:v>4</x:v>
      </x:c>
    </x:row>
    <x:row r="41">
      <x:c r="A41" s="284"/>
      <x:c r="B41" s="70"/>
      <x:c r="C41" s="70"/>
      <x:c r="D41" s="70"/>
      <x:c r="E41" s="70"/>
      <x:c r="F41" s="71"/>
      <x:c r="G41" s="70" t="str">
        <x:f>Summary!A22</x:f>
        <x:v>Network Device</x:v>
      </x:c>
      <x:c r="H41" s="71" t="n">
        <x:f>Summary!B22</x:f>
        <x:v>2</x:v>
      </x:c>
    </x:row>
  </x:sheetData>
  <x:mergeCells>
    <x:mergeCell ref="A1:L1"/>
    <x:mergeCell ref="A2:L2"/>
    <x:mergeCell ref="A4:C4"/>
    <x:mergeCell ref="A5:C7"/>
    <x:mergeCell ref="D4:F4"/>
    <x:mergeCell ref="D5:F7"/>
    <x:mergeCell ref="G4:I4"/>
    <x:mergeCell ref="G5:I7"/>
    <x:mergeCell ref="J4:L4"/>
    <x:mergeCell ref="J5:L7"/>
    <x:mergeCell ref="A9:C9"/>
    <x:mergeCell ref="A10:C12"/>
    <x:mergeCell ref="D9:F9"/>
    <x:mergeCell ref="D10:F12"/>
    <x:mergeCell ref="G9:I9"/>
    <x:mergeCell ref="G10:I12"/>
    <x:mergeCell ref="J9:L9"/>
    <x:mergeCell ref="J10:L12"/>
  </x:mergeCells>
  <x:pageMargins left="0.7" right="0.7" top="0.75" bottom="0.75" header="0.3" footer="0.3"/>
  <x:drawing xmlns:r="http://schemas.openxmlformats.org/officeDocument/2006/relationships" r:id="R8cc4a5be52664a15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7" hidden="0" customWidth="1"/>
    <x:col min="3" max="3" width="4" hidden="0" customWidth="1"/>
    <x:col min="4" max="4" width="23" hidden="0" customWidth="1"/>
    <x:col min="5" max="5" width="18" hidden="0" customWidth="1"/>
    <x:col min="6" max="6" width="38" hidden="0" customWidth="1"/>
  </x:cols>
  <x:sheetData>
    <x:row r="1" ht="30" customHeight="1">
      <x:c r="A1" s="54" t="str">
        <x:v>EWU E-Waste Dataset Assumptions and Transparency Notes</x:v>
      </x:c>
      <x:c r="B1" s="55"/>
      <x:c r="C1" s="55"/>
      <x:c r="D1" s="55"/>
      <x:c r="E1" s="55"/>
      <x:c r="F1" s="56"/>
    </x:row>
    <x:row r="2">
      <x:c r="A2" s="89"/>
      <x:c r="B2" s="90"/>
      <x:c r="C2" s="90"/>
      <x:c r="D2" s="90"/>
      <x:c r="E2" s="90"/>
      <x:c r="F2" s="91"/>
    </x:row>
    <x:row r="3" ht="48" customHeight="1">
      <x:c r="A3" s="60" t="str">
        <x:v>IMPORTANT: This workbook uses a simulated academic dataset. It does not contain East West University’s actual asset, maintenance, procurement, or disposal records.</x:v>
      </x:c>
      <x:c r="B3" s="13"/>
      <x:c r="C3" s="13"/>
      <x:c r="D3" s="13"/>
      <x:c r="E3" s="13"/>
      <x:c r="F3" s="61"/>
    </x:row>
    <x:row r="4">
      <x:c r="A4" s="89"/>
      <x:c r="B4" s="90"/>
      <x:c r="C4" s="90"/>
      <x:c r="D4" s="90"/>
      <x:c r="E4" s="90"/>
      <x:c r="F4" s="91"/>
    </x:row>
    <x:row r="5">
      <x:c r="A5" s="62" t="str">
        <x:v>CO2e factor assumptions</x:v>
      </x:c>
      <x:c r="B5" s="22" t="str">
        <x:v>kg CO2e benefit per kg managed</x:v>
      </x:c>
      <x:c r="C5" s="90"/>
      <x:c r="D5" s="22" t="str">
        <x:v>Category</x:v>
      </x:c>
      <x:c r="E5" s="22" t="str">
        <x:v>Planned item count</x:v>
      </x:c>
      <x:c r="F5" s="63" t="str">
        <x:v>Base weight (kg)</x:v>
      </x:c>
    </x:row>
    <x:row r="6">
      <x:c r="A6" s="89" t="str">
        <x:v>Reuse</x:v>
      </x:c>
      <x:c r="B6" s="92" t="n">
        <x:v>3</x:v>
      </x:c>
      <x:c r="C6" s="90"/>
      <x:c r="D6" s="90" t="str">
        <x:v>Desktop Computer</x:v>
      </x:c>
      <x:c r="E6" s="90" t="n">
        <x:v>18</x:v>
      </x:c>
      <x:c r="F6" s="93" t="n">
        <x:v>9</x:v>
      </x:c>
    </x:row>
    <x:row r="7">
      <x:c r="A7" s="89" t="str">
        <x:v>Repair</x:v>
      </x:c>
      <x:c r="B7" s="92" t="n">
        <x:v>2.2</x:v>
      </x:c>
      <x:c r="C7" s="90"/>
      <x:c r="D7" s="90" t="str">
        <x:v>Laptop</x:v>
      </x:c>
      <x:c r="E7" s="90" t="n">
        <x:v>15</x:v>
      </x:c>
      <x:c r="F7" s="93" t="n">
        <x:v>2.2</x:v>
      </x:c>
    </x:row>
    <x:row r="8">
      <x:c r="A8" s="89" t="str">
        <x:v>Recycle</x:v>
      </x:c>
      <x:c r="B8" s="92" t="n">
        <x:v>1.1</x:v>
      </x:c>
      <x:c r="C8" s="90"/>
      <x:c r="D8" s="90" t="str">
        <x:v>Monitor</x:v>
      </x:c>
      <x:c r="E8" s="90" t="n">
        <x:v>16</x:v>
      </x:c>
      <x:c r="F8" s="93" t="n">
        <x:v>5.5</x:v>
      </x:c>
    </x:row>
    <x:row r="9">
      <x:c r="A9" s="89" t="str">
        <x:v>Safe Disposal</x:v>
      </x:c>
      <x:c r="B9" s="92" t="n">
        <x:v>0.15</x:v>
      </x:c>
      <x:c r="C9" s="90"/>
      <x:c r="D9" s="90" t="str">
        <x:v>Keyboard</x:v>
      </x:c>
      <x:c r="E9" s="90" t="n">
        <x:v>12</x:v>
      </x:c>
      <x:c r="F9" s="93" t="n">
        <x:v>0.7</x:v>
      </x:c>
    </x:row>
    <x:row r="10">
      <x:c r="A10" s="89"/>
      <x:c r="B10" s="90"/>
      <x:c r="C10" s="90"/>
      <x:c r="D10" s="90" t="str">
        <x:v>Mouse</x:v>
      </x:c>
      <x:c r="E10" s="90" t="n">
        <x:v>10</x:v>
      </x:c>
      <x:c r="F10" s="93" t="n">
        <x:v>0.15</x:v>
      </x:c>
    </x:row>
    <x:row r="11">
      <x:c r="A11" s="62" t="str">
        <x:v>Financial assumptions</x:v>
      </x:c>
      <x:c r="B11" s="22" t="str">
        <x:v>Value</x:v>
      </x:c>
      <x:c r="C11" s="90"/>
      <x:c r="D11" s="90" t="str">
        <x:v>Printer</x:v>
      </x:c>
      <x:c r="E11" s="90" t="n">
        <x:v>8</x:v>
      </x:c>
      <x:c r="F11" s="93" t="n">
        <x:v>11</x:v>
      </x:c>
    </x:row>
    <x:row r="12">
      <x:c r="A12" s="89" t="str">
        <x:v>Reuse saving ratio</x:v>
      </x:c>
      <x:c r="B12" s="94" t="n">
        <x:v>0.7</x:v>
      </x:c>
      <x:c r="C12" s="90"/>
      <x:c r="D12" s="90" t="str">
        <x:v>UPS</x:v>
      </x:c>
      <x:c r="E12" s="90" t="n">
        <x:v>7</x:v>
      </x:c>
      <x:c r="F12" s="93" t="n">
        <x:v>7.5</x:v>
      </x:c>
    </x:row>
    <x:row r="13">
      <x:c r="A13" s="89" t="str">
        <x:v>Recycling recovery value (BDT/kg)</x:v>
      </x:c>
      <x:c r="B13" s="95" t="n">
        <x:v>120</x:v>
      </x:c>
      <x:c r="C13" s="90"/>
      <x:c r="D13" s="90" t="str">
        <x:v>Battery</x:v>
      </x:c>
      <x:c r="E13" s="90" t="n">
        <x:v>8</x:v>
      </x:c>
      <x:c r="F13" s="93" t="n">
        <x:v>3</x:v>
      </x:c>
    </x:row>
    <x:row r="14">
      <x:c r="A14" s="89" t="str">
        <x:v>Repair decision threshold</x:v>
      </x:c>
      <x:c r="B14" s="94" t="n">
        <x:v>0.4</x:v>
      </x:c>
      <x:c r="C14" s="90"/>
      <x:c r="D14" s="90" t="str">
        <x:v>Mobile Device</x:v>
      </x:c>
      <x:c r="E14" s="90" t="n">
        <x:v>4</x:v>
      </x:c>
      <x:c r="F14" s="93" t="n">
        <x:v>0.2</x:v>
      </x:c>
    </x:row>
    <x:row r="15">
      <x:c r="A15" s="89"/>
      <x:c r="B15" s="90"/>
      <x:c r="C15" s="90"/>
      <x:c r="D15" s="90" t="str">
        <x:v>Network Device</x:v>
      </x:c>
      <x:c r="E15" s="90" t="n">
        <x:v>2</x:v>
      </x:c>
      <x:c r="F15" s="93" t="n">
        <x:v>1.5</x:v>
      </x:c>
    </x:row>
    <x:row r="16">
      <x:c r="A16" s="89"/>
      <x:c r="B16" s="90"/>
      <x:c r="C16" s="90"/>
      <x:c r="D16" s="90"/>
      <x:c r="E16" s="90"/>
      <x:c r="F16" s="91"/>
    </x:row>
    <x:row r="17">
      <x:c r="A17" s="65" t="str">
        <x:v>How the dataset was created</x:v>
      </x:c>
      <x:c r="B17" s="37" t="str"/>
      <x:c r="C17" s="37" t="str"/>
      <x:c r="D17" s="22" t="str">
        <x:v>Action</x:v>
      </x:c>
      <x:c r="E17" s="22" t="str">
        <x:v>Planned count</x:v>
      </x:c>
      <x:c r="F17" s="63" t="str">
        <x:v>Interpretation</x:v>
      </x:c>
    </x:row>
    <x:row r="18">
      <x:c r="A18" s="96" t="str">
        <x:v>1</x:v>
      </x:c>
      <x:c r="B18" s="97" t="str">
        <x:v>A fixed 100-item category distribution was defined for an academic university scenario.</x:v>
      </x:c>
      <x:c r="C18" s="90"/>
      <x:c r="D18" s="90" t="str">
        <x:v>Reuse</x:v>
      </x:c>
      <x:c r="E18" s="90" t="n">
        <x:v>28</x:v>
      </x:c>
      <x:c r="F18" s="98" t="str">
        <x:v>Functional and suitable for reassignment</x:v>
      </x:c>
    </x:row>
    <x:row r="19">
      <x:c r="A19" s="96" t="str">
        <x:v>2</x:v>
      </x:c>
      <x:c r="B19" s="97" t="str">
        <x:v>The four action quotas were set to Reuse 28, Repair 24, Recycle 38, and Safe Disposal 10.</x:v>
      </x:c>
      <x:c r="C19" s="90"/>
      <x:c r="D19" s="90" t="str">
        <x:v>Repair</x:v>
      </x:c>
      <x:c r="E19" s="90" t="n">
        <x:v>24</x:v>
      </x:c>
      <x:c r="F19" s="98" t="str">
        <x:v>Repair cost below the report’s 40% threshold</x:v>
      </x:c>
    </x:row>
    <x:row r="20">
      <x:c r="A20" s="96" t="str">
        <x:v>3</x:v>
      </x:c>
      <x:c r="B20" s="97" t="str">
        <x:v>Age, department, condition, weight, repair cost, and replacement cost were simulated using fixed rules and a random seed.</x:v>
      </x:c>
      <x:c r="C20" s="90"/>
      <x:c r="D20" s="90" t="str">
        <x:v>Recycle</x:v>
      </x:c>
      <x:c r="E20" s="90" t="n">
        <x:v>38</x:v>
      </x:c>
      <x:c r="F20" s="98" t="str">
        <x:v>Not economical to repair; materials recoverable</x:v>
      </x:c>
    </x:row>
    <x:row r="21">
      <x:c r="A21" s="96" t="str">
        <x:v>4</x:v>
      </x:c>
      <x:c r="B21" s="97" t="str">
        <x:v>The recommended action values were assigned within the simulated scenario; they are not audit findings.</x:v>
      </x:c>
      <x:c r="C21" s="90"/>
      <x:c r="D21" s="90" t="str">
        <x:v>Safe Disposal</x:v>
      </x:c>
      <x:c r="E21" s="90" t="n">
        <x:v>10</x:v>
      </x:c>
      <x:c r="F21" s="98" t="str">
        <x:v>Hazardous, leaking, or unsafe</x:v>
      </x:c>
    </x:row>
    <x:row r="22">
      <x:c r="A22" s="96" t="str">
        <x:v>5</x:v>
      </x:c>
      <x:c r="B22" s="97" t="str">
        <x:v>The Inventory sheet preserves all generated CSV values, including the original row-level CO2e and direct-saving calculations.</x:v>
      </x:c>
      <x:c r="C22" s="90"/>
      <x:c r="D22" s="90"/>
      <x:c r="E22" s="90"/>
      <x:c r="F22" s="91"/>
    </x:row>
    <x:row r="23">
      <x:c r="A23" s="99" t="str">
        <x:v>6</x:v>
      </x:c>
      <x:c r="B23" s="100" t="str">
        <x:v>All dashboard charts are generated from the Inventory and Summary sheets.</x:v>
      </x:c>
      <x:c r="C23" s="101"/>
      <x:c r="D23" s="101"/>
      <x:c r="E23" s="101"/>
      <x:c r="F23" s="102"/>
    </x:row>
  </x:sheetData>
  <x:mergeCells>
    <x:mergeCell ref="A1:F1"/>
    <x:mergeCell ref="A3:F3"/>
  </x:mergeCells>
  <x:pageMargins left="0.7" right="0.7" top="0.75" bottom="0.75" header="0.3" footer="0.3"/>
</x:worksheet>
</file>